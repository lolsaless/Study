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2020-먹는물검사팀\먹는물 수질분석 관련\시험일지\시험일지\중금속\2023년 중금속\"/>
    </mc:Choice>
  </mc:AlternateContent>
  <bookViews>
    <workbookView xWindow="0" yWindow="0" windowWidth="28800" windowHeight="12255"/>
  </bookViews>
  <sheets>
    <sheet name="분석 결과" sheetId="2" r:id="rId1"/>
    <sheet name="최종 결과" sheetId="1" r:id="rId2"/>
    <sheet name="입력" sheetId="6" r:id="rId3"/>
  </sheets>
  <functionGroups builtInGroupCount="18"/>
  <definedNames>
    <definedName name="_xlnm._FilterDatabase" localSheetId="0" hidden="1">'분석 결과'!$A$7:$T$49</definedName>
    <definedName name="_xlnm._FilterDatabase" localSheetId="2" hidden="1">입력!$A$7:$AI$45</definedName>
    <definedName name="_xlnm._FilterDatabase" localSheetId="1" hidden="1">'최종 결과'!$A$7:$AI$17</definedName>
    <definedName name="_xlnm.Print_Area" localSheetId="2">'분석 결과'!$A$1:$T$49</definedName>
    <definedName name="_xlnm.Print_Area" localSheetId="1">'분석 결과'!$A$1:$T$49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4" i="6" l="1"/>
  <c r="D44" i="6"/>
  <c r="C44" i="6"/>
  <c r="B44" i="6"/>
  <c r="E43" i="6"/>
  <c r="D43" i="6"/>
  <c r="C43" i="6"/>
  <c r="B43" i="6"/>
  <c r="E42" i="6"/>
  <c r="D42" i="6"/>
  <c r="C42" i="6"/>
  <c r="B42" i="6"/>
  <c r="E41" i="6"/>
  <c r="D41" i="6"/>
  <c r="C41" i="6"/>
  <c r="B41" i="6"/>
  <c r="E40" i="6"/>
  <c r="D40" i="6"/>
  <c r="C40" i="6"/>
  <c r="B40" i="6"/>
  <c r="E39" i="6"/>
  <c r="D39" i="6"/>
  <c r="C39" i="6"/>
  <c r="B39" i="6"/>
  <c r="E38" i="6"/>
  <c r="D38" i="6"/>
  <c r="C38" i="6"/>
  <c r="B38" i="6"/>
  <c r="E37" i="6"/>
  <c r="D37" i="6"/>
  <c r="C37" i="6"/>
  <c r="B37" i="6"/>
  <c r="E36" i="6"/>
  <c r="D36" i="6"/>
  <c r="C36" i="6"/>
  <c r="B36" i="6"/>
  <c r="E35" i="6"/>
  <c r="D35" i="6"/>
  <c r="C35" i="6"/>
  <c r="B35" i="6"/>
  <c r="E34" i="6"/>
  <c r="D34" i="6"/>
  <c r="C34" i="6"/>
  <c r="B34" i="6"/>
  <c r="E33" i="6"/>
  <c r="D33" i="6"/>
  <c r="C33" i="6"/>
  <c r="B33" i="6"/>
  <c r="E32" i="6"/>
  <c r="D32" i="6"/>
  <c r="C32" i="6"/>
  <c r="B32" i="6"/>
  <c r="E31" i="6"/>
  <c r="D31" i="6"/>
  <c r="C31" i="6"/>
  <c r="B31" i="6"/>
  <c r="E30" i="6"/>
  <c r="D30" i="6"/>
  <c r="C30" i="6"/>
  <c r="B30" i="6"/>
  <c r="E29" i="6"/>
  <c r="D29" i="6"/>
  <c r="C29" i="6"/>
  <c r="B29" i="6"/>
  <c r="E28" i="6"/>
  <c r="D28" i="6"/>
  <c r="C28" i="6"/>
  <c r="B28" i="6"/>
  <c r="E27" i="6"/>
  <c r="D27" i="6"/>
  <c r="C27" i="6"/>
  <c r="B27" i="6"/>
  <c r="E26" i="6"/>
  <c r="D26" i="6"/>
  <c r="C26" i="6"/>
  <c r="B26" i="6"/>
  <c r="E25" i="6"/>
  <c r="D25" i="6"/>
  <c r="C25" i="6"/>
  <c r="B25" i="6"/>
  <c r="E24" i="6"/>
  <c r="D24" i="6"/>
  <c r="C24" i="6"/>
  <c r="B24" i="6"/>
  <c r="E23" i="6"/>
  <c r="D23" i="6"/>
  <c r="C23" i="6"/>
  <c r="B23" i="6"/>
  <c r="E22" i="6"/>
  <c r="D22" i="6"/>
  <c r="C22" i="6"/>
  <c r="B22" i="6"/>
  <c r="E21" i="6"/>
  <c r="D21" i="6"/>
  <c r="C21" i="6"/>
  <c r="B21" i="6"/>
  <c r="E20" i="6"/>
  <c r="D20" i="6"/>
  <c r="C20" i="6"/>
  <c r="B20" i="6"/>
  <c r="E19" i="6"/>
  <c r="D19" i="6"/>
  <c r="C19" i="6"/>
  <c r="B19" i="6"/>
  <c r="E18" i="6"/>
  <c r="D18" i="6"/>
  <c r="C18" i="6"/>
  <c r="B18" i="6"/>
  <c r="E17" i="6"/>
  <c r="D17" i="6"/>
  <c r="C17" i="6"/>
  <c r="B17" i="6"/>
  <c r="E16" i="6"/>
  <c r="D16" i="6"/>
  <c r="C16" i="6"/>
  <c r="B16" i="6"/>
  <c r="E15" i="6"/>
  <c r="D15" i="6"/>
  <c r="C15" i="6"/>
  <c r="B15" i="6"/>
  <c r="E14" i="6"/>
  <c r="D14" i="6"/>
  <c r="C14" i="6"/>
  <c r="B14" i="6"/>
  <c r="E13" i="6"/>
  <c r="D13" i="6"/>
  <c r="C13" i="6"/>
  <c r="B13" i="6"/>
  <c r="E12" i="6"/>
  <c r="D12" i="6"/>
  <c r="C12" i="6"/>
  <c r="B12" i="6"/>
  <c r="E11" i="6"/>
  <c r="D11" i="6"/>
  <c r="C11" i="6"/>
  <c r="B11" i="6"/>
  <c r="E9" i="6"/>
  <c r="D9" i="6"/>
  <c r="C9" i="6"/>
  <c r="B9" i="6"/>
  <c r="E45" i="6"/>
  <c r="D45" i="6"/>
  <c r="C45" i="6"/>
  <c r="B45" i="6"/>
  <c r="E8" i="6"/>
  <c r="D8" i="6"/>
  <c r="C8" i="6"/>
  <c r="B8" i="6"/>
  <c r="E10" i="6"/>
  <c r="D10" i="6"/>
  <c r="C10" i="6"/>
  <c r="B10" i="6"/>
  <c r="P44" i="6"/>
  <c r="L43" i="6"/>
  <c r="T42" i="6"/>
  <c r="H42" i="6"/>
  <c r="P41" i="6"/>
  <c r="L40" i="6"/>
  <c r="T39" i="6"/>
  <c r="H39" i="6"/>
  <c r="P38" i="6"/>
  <c r="L37" i="6"/>
  <c r="T36" i="6"/>
  <c r="H36" i="6"/>
  <c r="P35" i="6"/>
  <c r="L34" i="6"/>
  <c r="T33" i="6"/>
  <c r="H33" i="6"/>
  <c r="P32" i="6"/>
  <c r="L31" i="6"/>
  <c r="T30" i="6"/>
  <c r="H30" i="6"/>
  <c r="P29" i="6"/>
  <c r="L28" i="6"/>
  <c r="T27" i="6"/>
  <c r="H27" i="6"/>
  <c r="P26" i="6"/>
  <c r="L25" i="6"/>
  <c r="T24" i="6"/>
  <c r="H24" i="6"/>
  <c r="P23" i="6"/>
  <c r="L22" i="6"/>
  <c r="T21" i="6"/>
  <c r="H21" i="6"/>
  <c r="P20" i="6"/>
  <c r="L19" i="6"/>
  <c r="T18" i="6"/>
  <c r="H18" i="6"/>
  <c r="P17" i="6"/>
  <c r="L16" i="6"/>
  <c r="T15" i="6"/>
  <c r="H15" i="6"/>
  <c r="P14" i="6"/>
  <c r="L13" i="6"/>
  <c r="T12" i="6"/>
  <c r="H12" i="6"/>
  <c r="P11" i="6"/>
  <c r="L9" i="6"/>
  <c r="P45" i="6"/>
  <c r="L8" i="6"/>
  <c r="T10" i="6"/>
  <c r="H10" i="6"/>
  <c r="M14" i="6"/>
  <c r="Q16" i="6"/>
  <c r="Q9" i="6"/>
  <c r="N16" i="6"/>
  <c r="N13" i="6"/>
  <c r="Q38" i="6"/>
  <c r="M37" i="6"/>
  <c r="Q29" i="6"/>
  <c r="Q26" i="6"/>
  <c r="Q17" i="6"/>
  <c r="M13" i="6"/>
  <c r="O44" i="6"/>
  <c r="K43" i="6"/>
  <c r="S42" i="6"/>
  <c r="G42" i="6"/>
  <c r="O41" i="6"/>
  <c r="K40" i="6"/>
  <c r="S39" i="6"/>
  <c r="G39" i="6"/>
  <c r="O38" i="6"/>
  <c r="K37" i="6"/>
  <c r="S36" i="6"/>
  <c r="G36" i="6"/>
  <c r="O35" i="6"/>
  <c r="K34" i="6"/>
  <c r="S33" i="6"/>
  <c r="G33" i="6"/>
  <c r="O32" i="6"/>
  <c r="K31" i="6"/>
  <c r="S30" i="6"/>
  <c r="G30" i="6"/>
  <c r="O29" i="6"/>
  <c r="K28" i="6"/>
  <c r="S27" i="6"/>
  <c r="G27" i="6"/>
  <c r="O26" i="6"/>
  <c r="K25" i="6"/>
  <c r="S24" i="6"/>
  <c r="G24" i="6"/>
  <c r="O23" i="6"/>
  <c r="K22" i="6"/>
  <c r="S21" i="6"/>
  <c r="G21" i="6"/>
  <c r="O20" i="6"/>
  <c r="K19" i="6"/>
  <c r="S18" i="6"/>
  <c r="G18" i="6"/>
  <c r="O17" i="6"/>
  <c r="K16" i="6"/>
  <c r="S15" i="6"/>
  <c r="G15" i="6"/>
  <c r="O14" i="6"/>
  <c r="K13" i="6"/>
  <c r="S12" i="6"/>
  <c r="G12" i="6"/>
  <c r="O11" i="6"/>
  <c r="K9" i="6"/>
  <c r="O45" i="6"/>
  <c r="K8" i="6"/>
  <c r="S10" i="6"/>
  <c r="G10" i="6"/>
  <c r="I22" i="6"/>
  <c r="I19" i="6"/>
  <c r="M17" i="6"/>
  <c r="I16" i="6"/>
  <c r="I13" i="6"/>
  <c r="I9" i="6"/>
  <c r="M45" i="6"/>
  <c r="Q10" i="6"/>
  <c r="I45" i="6"/>
  <c r="M10" i="6"/>
  <c r="J18" i="6"/>
  <c r="J12" i="6"/>
  <c r="J10" i="6"/>
  <c r="Q41" i="6"/>
  <c r="M31" i="6"/>
  <c r="M22" i="6"/>
  <c r="Q20" i="6"/>
  <c r="M16" i="6"/>
  <c r="Q11" i="6"/>
  <c r="N44" i="6"/>
  <c r="J43" i="6"/>
  <c r="R42" i="6"/>
  <c r="F42" i="6"/>
  <c r="N41" i="6"/>
  <c r="J40" i="6"/>
  <c r="R39" i="6"/>
  <c r="F39" i="6"/>
  <c r="N38" i="6"/>
  <c r="J37" i="6"/>
  <c r="R36" i="6"/>
  <c r="F36" i="6"/>
  <c r="N35" i="6"/>
  <c r="J34" i="6"/>
  <c r="R33" i="6"/>
  <c r="F33" i="6"/>
  <c r="N32" i="6"/>
  <c r="J31" i="6"/>
  <c r="R30" i="6"/>
  <c r="F30" i="6"/>
  <c r="N29" i="6"/>
  <c r="J28" i="6"/>
  <c r="R27" i="6"/>
  <c r="F27" i="6"/>
  <c r="N26" i="6"/>
  <c r="J25" i="6"/>
  <c r="R24" i="6"/>
  <c r="F24" i="6"/>
  <c r="N23" i="6"/>
  <c r="J22" i="6"/>
  <c r="R21" i="6"/>
  <c r="F21" i="6"/>
  <c r="N20" i="6"/>
  <c r="J19" i="6"/>
  <c r="R18" i="6"/>
  <c r="F18" i="6"/>
  <c r="N17" i="6"/>
  <c r="J16" i="6"/>
  <c r="R15" i="6"/>
  <c r="F15" i="6"/>
  <c r="N14" i="6"/>
  <c r="J13" i="6"/>
  <c r="R12" i="6"/>
  <c r="F12" i="6"/>
  <c r="N11" i="6"/>
  <c r="J9" i="6"/>
  <c r="N45" i="6"/>
  <c r="J8" i="6"/>
  <c r="R10" i="6"/>
  <c r="F10" i="6"/>
  <c r="I25" i="6"/>
  <c r="Q24" i="6"/>
  <c r="M23" i="6"/>
  <c r="Q21" i="6"/>
  <c r="M20" i="6"/>
  <c r="Q18" i="6"/>
  <c r="Q15" i="6"/>
  <c r="Q12" i="6"/>
  <c r="M11" i="6"/>
  <c r="I8" i="6"/>
  <c r="I17" i="6"/>
  <c r="I27" i="6"/>
  <c r="I15" i="6"/>
  <c r="M44" i="6"/>
  <c r="I43" i="6"/>
  <c r="Q42" i="6"/>
  <c r="M41" i="6"/>
  <c r="I40" i="6"/>
  <c r="Q39" i="6"/>
  <c r="M38" i="6"/>
  <c r="I37" i="6"/>
  <c r="Q36" i="6"/>
  <c r="M35" i="6"/>
  <c r="I34" i="6"/>
  <c r="Q33" i="6"/>
  <c r="M32" i="6"/>
  <c r="I31" i="6"/>
  <c r="Q30" i="6"/>
  <c r="M29" i="6"/>
  <c r="I28" i="6"/>
  <c r="Q27" i="6"/>
  <c r="M26" i="6"/>
  <c r="L44" i="6"/>
  <c r="T43" i="6"/>
  <c r="H43" i="6"/>
  <c r="P42" i="6"/>
  <c r="L41" i="6"/>
  <c r="T40" i="6"/>
  <c r="H40" i="6"/>
  <c r="P39" i="6"/>
  <c r="L38" i="6"/>
  <c r="T37" i="6"/>
  <c r="H37" i="6"/>
  <c r="P36" i="6"/>
  <c r="L35" i="6"/>
  <c r="T34" i="6"/>
  <c r="H34" i="6"/>
  <c r="P33" i="6"/>
  <c r="L32" i="6"/>
  <c r="T31" i="6"/>
  <c r="H31" i="6"/>
  <c r="P30" i="6"/>
  <c r="L29" i="6"/>
  <c r="T28" i="6"/>
  <c r="H28" i="6"/>
  <c r="P27" i="6"/>
  <c r="L26" i="6"/>
  <c r="T25" i="6"/>
  <c r="H25" i="6"/>
  <c r="P24" i="6"/>
  <c r="L23" i="6"/>
  <c r="T22" i="6"/>
  <c r="H22" i="6"/>
  <c r="P21" i="6"/>
  <c r="L20" i="6"/>
  <c r="T19" i="6"/>
  <c r="H19" i="6"/>
  <c r="P18" i="6"/>
  <c r="L17" i="6"/>
  <c r="T16" i="6"/>
  <c r="H16" i="6"/>
  <c r="P15" i="6"/>
  <c r="L14" i="6"/>
  <c r="T13" i="6"/>
  <c r="H13" i="6"/>
  <c r="P12" i="6"/>
  <c r="L11" i="6"/>
  <c r="T9" i="6"/>
  <c r="H9" i="6"/>
  <c r="L45" i="6"/>
  <c r="T8" i="6"/>
  <c r="H8" i="6"/>
  <c r="P10" i="6"/>
  <c r="I38" i="6"/>
  <c r="M36" i="6"/>
  <c r="Q34" i="6"/>
  <c r="M33" i="6"/>
  <c r="Q31" i="6"/>
  <c r="M30" i="6"/>
  <c r="Q28" i="6"/>
  <c r="I23" i="6"/>
  <c r="M15" i="6"/>
  <c r="R17" i="6"/>
  <c r="M43" i="6"/>
  <c r="I33" i="6"/>
  <c r="M19" i="6"/>
  <c r="M8" i="6"/>
  <c r="K44" i="6"/>
  <c r="S43" i="6"/>
  <c r="G43" i="6"/>
  <c r="O42" i="6"/>
  <c r="K41" i="6"/>
  <c r="S40" i="6"/>
  <c r="G40" i="6"/>
  <c r="O39" i="6"/>
  <c r="K38" i="6"/>
  <c r="S37" i="6"/>
  <c r="G37" i="6"/>
  <c r="O36" i="6"/>
  <c r="K35" i="6"/>
  <c r="S34" i="6"/>
  <c r="G34" i="6"/>
  <c r="O33" i="6"/>
  <c r="K32" i="6"/>
  <c r="S31" i="6"/>
  <c r="G31" i="6"/>
  <c r="O30" i="6"/>
  <c r="K29" i="6"/>
  <c r="S28" i="6"/>
  <c r="G28" i="6"/>
  <c r="O27" i="6"/>
  <c r="K26" i="6"/>
  <c r="S25" i="6"/>
  <c r="G25" i="6"/>
  <c r="O24" i="6"/>
  <c r="K23" i="6"/>
  <c r="S22" i="6"/>
  <c r="G22" i="6"/>
  <c r="O21" i="6"/>
  <c r="K20" i="6"/>
  <c r="S19" i="6"/>
  <c r="G19" i="6"/>
  <c r="O18" i="6"/>
  <c r="K17" i="6"/>
  <c r="S16" i="6"/>
  <c r="G16" i="6"/>
  <c r="O15" i="6"/>
  <c r="K14" i="6"/>
  <c r="S13" i="6"/>
  <c r="G13" i="6"/>
  <c r="O12" i="6"/>
  <c r="K11" i="6"/>
  <c r="S9" i="6"/>
  <c r="G9" i="6"/>
  <c r="K45" i="6"/>
  <c r="S8" i="6"/>
  <c r="G8" i="6"/>
  <c r="O10" i="6"/>
  <c r="Q37" i="6"/>
  <c r="I35" i="6"/>
  <c r="I32" i="6"/>
  <c r="M27" i="6"/>
  <c r="Q25" i="6"/>
  <c r="M24" i="6"/>
  <c r="Q22" i="6"/>
  <c r="M21" i="6"/>
  <c r="I20" i="6"/>
  <c r="M18" i="6"/>
  <c r="Q13" i="6"/>
  <c r="I11" i="6"/>
  <c r="Q8" i="6"/>
  <c r="F20" i="6"/>
  <c r="N9" i="6"/>
  <c r="I42" i="6"/>
  <c r="M34" i="6"/>
  <c r="M28" i="6"/>
  <c r="I21" i="6"/>
  <c r="M9" i="6"/>
  <c r="J44" i="6"/>
  <c r="R43" i="6"/>
  <c r="F43" i="6"/>
  <c r="N42" i="6"/>
  <c r="J41" i="6"/>
  <c r="R40" i="6"/>
  <c r="F40" i="6"/>
  <c r="N39" i="6"/>
  <c r="J38" i="6"/>
  <c r="R37" i="6"/>
  <c r="F37" i="6"/>
  <c r="N36" i="6"/>
  <c r="J35" i="6"/>
  <c r="R34" i="6"/>
  <c r="F34" i="6"/>
  <c r="N33" i="6"/>
  <c r="J32" i="6"/>
  <c r="R31" i="6"/>
  <c r="F31" i="6"/>
  <c r="N30" i="6"/>
  <c r="J29" i="6"/>
  <c r="R28" i="6"/>
  <c r="F28" i="6"/>
  <c r="N27" i="6"/>
  <c r="J26" i="6"/>
  <c r="R25" i="6"/>
  <c r="F25" i="6"/>
  <c r="N24" i="6"/>
  <c r="J23" i="6"/>
  <c r="R22" i="6"/>
  <c r="F22" i="6"/>
  <c r="N21" i="6"/>
  <c r="J20" i="6"/>
  <c r="R19" i="6"/>
  <c r="F19" i="6"/>
  <c r="N18" i="6"/>
  <c r="J17" i="6"/>
  <c r="R16" i="6"/>
  <c r="F16" i="6"/>
  <c r="N15" i="6"/>
  <c r="J14" i="6"/>
  <c r="R13" i="6"/>
  <c r="F13" i="6"/>
  <c r="N12" i="6"/>
  <c r="J11" i="6"/>
  <c r="R9" i="6"/>
  <c r="F9" i="6"/>
  <c r="J45" i="6"/>
  <c r="R8" i="6"/>
  <c r="F8" i="6"/>
  <c r="N10" i="6"/>
  <c r="I29" i="6"/>
  <c r="I26" i="6"/>
  <c r="Q19" i="6"/>
  <c r="I14" i="6"/>
  <c r="M12" i="6"/>
  <c r="N19" i="6"/>
  <c r="R11" i="6"/>
  <c r="N8" i="6"/>
  <c r="I39" i="6"/>
  <c r="Q32" i="6"/>
  <c r="Q23" i="6"/>
  <c r="I18" i="6"/>
  <c r="I10" i="6"/>
  <c r="I44" i="6"/>
  <c r="Q43" i="6"/>
  <c r="M42" i="6"/>
  <c r="I41" i="6"/>
  <c r="Q40" i="6"/>
  <c r="M39" i="6"/>
  <c r="M40" i="6"/>
  <c r="Q45" i="6"/>
  <c r="T44" i="6"/>
  <c r="H44" i="6"/>
  <c r="P43" i="6"/>
  <c r="L42" i="6"/>
  <c r="T41" i="6"/>
  <c r="H41" i="6"/>
  <c r="P40" i="6"/>
  <c r="L39" i="6"/>
  <c r="T38" i="6"/>
  <c r="H38" i="6"/>
  <c r="P37" i="6"/>
  <c r="L36" i="6"/>
  <c r="T35" i="6"/>
  <c r="H35" i="6"/>
  <c r="P34" i="6"/>
  <c r="L33" i="6"/>
  <c r="T32" i="6"/>
  <c r="H32" i="6"/>
  <c r="P31" i="6"/>
  <c r="L30" i="6"/>
  <c r="T29" i="6"/>
  <c r="H29" i="6"/>
  <c r="P28" i="6"/>
  <c r="L27" i="6"/>
  <c r="T26" i="6"/>
  <c r="H26" i="6"/>
  <c r="P25" i="6"/>
  <c r="L24" i="6"/>
  <c r="T23" i="6"/>
  <c r="H23" i="6"/>
  <c r="P22" i="6"/>
  <c r="L21" i="6"/>
  <c r="T20" i="6"/>
  <c r="H20" i="6"/>
  <c r="P19" i="6"/>
  <c r="L18" i="6"/>
  <c r="T17" i="6"/>
  <c r="H17" i="6"/>
  <c r="P16" i="6"/>
  <c r="L15" i="6"/>
  <c r="T14" i="6"/>
  <c r="H14" i="6"/>
  <c r="P13" i="6"/>
  <c r="L12" i="6"/>
  <c r="T11" i="6"/>
  <c r="H11" i="6"/>
  <c r="P9" i="6"/>
  <c r="T45" i="6"/>
  <c r="H45" i="6"/>
  <c r="P8" i="6"/>
  <c r="L10" i="6"/>
  <c r="R44" i="6"/>
  <c r="F44" i="6"/>
  <c r="R41" i="6"/>
  <c r="N40" i="6"/>
  <c r="J39" i="6"/>
  <c r="F38" i="6"/>
  <c r="R35" i="6"/>
  <c r="N34" i="6"/>
  <c r="J33" i="6"/>
  <c r="F32" i="6"/>
  <c r="R29" i="6"/>
  <c r="N28" i="6"/>
  <c r="J27" i="6"/>
  <c r="F26" i="6"/>
  <c r="R23" i="6"/>
  <c r="N22" i="6"/>
  <c r="J21" i="6"/>
  <c r="R14" i="6"/>
  <c r="F11" i="6"/>
  <c r="F45" i="6"/>
  <c r="Q35" i="6"/>
  <c r="I30" i="6"/>
  <c r="I24" i="6"/>
  <c r="Q14" i="6"/>
  <c r="S44" i="6"/>
  <c r="G44" i="6"/>
  <c r="O43" i="6"/>
  <c r="K42" i="6"/>
  <c r="S41" i="6"/>
  <c r="G41" i="6"/>
  <c r="O40" i="6"/>
  <c r="K39" i="6"/>
  <c r="S38" i="6"/>
  <c r="G38" i="6"/>
  <c r="O37" i="6"/>
  <c r="K36" i="6"/>
  <c r="S35" i="6"/>
  <c r="G35" i="6"/>
  <c r="O34" i="6"/>
  <c r="K33" i="6"/>
  <c r="S32" i="6"/>
  <c r="G32" i="6"/>
  <c r="O31" i="6"/>
  <c r="K30" i="6"/>
  <c r="S29" i="6"/>
  <c r="G29" i="6"/>
  <c r="O28" i="6"/>
  <c r="K27" i="6"/>
  <c r="S26" i="6"/>
  <c r="G26" i="6"/>
  <c r="O25" i="6"/>
  <c r="K24" i="6"/>
  <c r="S23" i="6"/>
  <c r="G23" i="6"/>
  <c r="O22" i="6"/>
  <c r="K21" i="6"/>
  <c r="S20" i="6"/>
  <c r="G20" i="6"/>
  <c r="O19" i="6"/>
  <c r="K18" i="6"/>
  <c r="S17" i="6"/>
  <c r="G17" i="6"/>
  <c r="O16" i="6"/>
  <c r="K15" i="6"/>
  <c r="S14" i="6"/>
  <c r="G14" i="6"/>
  <c r="O13" i="6"/>
  <c r="K12" i="6"/>
  <c r="S11" i="6"/>
  <c r="G11" i="6"/>
  <c r="O9" i="6"/>
  <c r="S45" i="6"/>
  <c r="G45" i="6"/>
  <c r="O8" i="6"/>
  <c r="K10" i="6"/>
  <c r="N43" i="6"/>
  <c r="J42" i="6"/>
  <c r="F41" i="6"/>
  <c r="R38" i="6"/>
  <c r="N37" i="6"/>
  <c r="J36" i="6"/>
  <c r="F35" i="6"/>
  <c r="R32" i="6"/>
  <c r="N31" i="6"/>
  <c r="J30" i="6"/>
  <c r="F29" i="6"/>
  <c r="R26" i="6"/>
  <c r="N25" i="6"/>
  <c r="J24" i="6"/>
  <c r="F23" i="6"/>
  <c r="R20" i="6"/>
  <c r="F17" i="6"/>
  <c r="J15" i="6"/>
  <c r="F14" i="6"/>
  <c r="R45" i="6"/>
  <c r="Q44" i="6"/>
  <c r="I36" i="6"/>
  <c r="M25" i="6"/>
  <c r="I12" i="6"/>
  <c r="A10" i="1" l="1"/>
  <c r="B10" i="1"/>
  <c r="C10" i="1"/>
  <c r="D10" i="1"/>
  <c r="E10" i="1"/>
  <c r="A11" i="1"/>
  <c r="B11" i="1"/>
  <c r="C11" i="1"/>
  <c r="D11" i="1"/>
  <c r="E11" i="1"/>
  <c r="A12" i="1"/>
  <c r="B12" i="1"/>
  <c r="C12" i="1"/>
  <c r="D12" i="1"/>
  <c r="E12" i="1"/>
  <c r="A13" i="1"/>
  <c r="B13" i="1"/>
  <c r="C13" i="1"/>
  <c r="D13" i="1"/>
  <c r="E13" i="1"/>
  <c r="A14" i="1"/>
  <c r="B14" i="1"/>
  <c r="C14" i="1"/>
  <c r="D14" i="1"/>
  <c r="E14" i="1"/>
  <c r="A15" i="1"/>
  <c r="B15" i="1"/>
  <c r="C15" i="1"/>
  <c r="D15" i="1"/>
  <c r="E15" i="1"/>
  <c r="A16" i="1"/>
  <c r="B16" i="1"/>
  <c r="C16" i="1"/>
  <c r="D16" i="1"/>
  <c r="E16" i="1"/>
  <c r="A17" i="1"/>
  <c r="B17" i="1"/>
  <c r="C17" i="1"/>
  <c r="D17" i="1"/>
  <c r="E17" i="1"/>
  <c r="A18" i="1"/>
  <c r="B18" i="1"/>
  <c r="C18" i="1"/>
  <c r="D18" i="1"/>
  <c r="E18" i="1"/>
  <c r="A19" i="1"/>
  <c r="B19" i="1"/>
  <c r="C19" i="1"/>
  <c r="D19" i="1"/>
  <c r="E19" i="1"/>
  <c r="A20" i="1"/>
  <c r="B20" i="1"/>
  <c r="C20" i="1"/>
  <c r="D20" i="1"/>
  <c r="E20" i="1"/>
  <c r="A21" i="1"/>
  <c r="B21" i="1"/>
  <c r="C21" i="1"/>
  <c r="D21" i="1"/>
  <c r="E21" i="1"/>
  <c r="A22" i="1"/>
  <c r="B22" i="1"/>
  <c r="C22" i="1"/>
  <c r="D22" i="1"/>
  <c r="E22" i="1"/>
  <c r="A23" i="1"/>
  <c r="B23" i="1"/>
  <c r="C23" i="1"/>
  <c r="D23" i="1"/>
  <c r="E23" i="1"/>
  <c r="A24" i="1"/>
  <c r="B24" i="1"/>
  <c r="C24" i="1"/>
  <c r="D24" i="1"/>
  <c r="E24" i="1"/>
  <c r="A25" i="1"/>
  <c r="B25" i="1"/>
  <c r="C25" i="1"/>
  <c r="D25" i="1"/>
  <c r="E25" i="1"/>
  <c r="A26" i="1"/>
  <c r="B26" i="1"/>
  <c r="C26" i="1"/>
  <c r="D26" i="1"/>
  <c r="E26" i="1"/>
  <c r="A27" i="1"/>
  <c r="B27" i="1"/>
  <c r="C27" i="1"/>
  <c r="D27" i="1"/>
  <c r="E27" i="1"/>
  <c r="A28" i="1"/>
  <c r="B28" i="1"/>
  <c r="C28" i="1"/>
  <c r="D28" i="1"/>
  <c r="E28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J9" i="2"/>
  <c r="M10" i="1"/>
  <c r="Q11" i="1"/>
  <c r="I12" i="1"/>
  <c r="M13" i="1"/>
  <c r="Q14" i="1"/>
  <c r="I15" i="1"/>
  <c r="M16" i="1"/>
  <c r="Q17" i="1"/>
  <c r="I18" i="1"/>
  <c r="M19" i="1"/>
  <c r="Q20" i="1"/>
  <c r="I21" i="1"/>
  <c r="M22" i="1"/>
  <c r="Q23" i="1"/>
  <c r="I24" i="1"/>
  <c r="M25" i="1"/>
  <c r="Q26" i="1"/>
  <c r="I27" i="1"/>
  <c r="M28" i="1"/>
  <c r="Q29" i="1"/>
  <c r="I30" i="1"/>
  <c r="M31" i="1"/>
  <c r="Q32" i="1"/>
  <c r="I33" i="1"/>
  <c r="M34" i="1"/>
  <c r="Q35" i="1"/>
  <c r="I36" i="1"/>
  <c r="M37" i="1"/>
  <c r="Q38" i="1"/>
  <c r="I39" i="1"/>
  <c r="M40" i="1"/>
  <c r="Q41" i="1"/>
  <c r="I42" i="1"/>
  <c r="M43" i="1"/>
  <c r="Q44" i="1"/>
  <c r="I45" i="1"/>
  <c r="M46" i="1"/>
  <c r="Q47" i="1"/>
  <c r="I48" i="1"/>
  <c r="M49" i="1"/>
  <c r="Q50" i="1"/>
  <c r="F11" i="1"/>
  <c r="N25" i="1"/>
  <c r="R50" i="1"/>
  <c r="N10" i="1"/>
  <c r="O10" i="1"/>
  <c r="G11" i="1"/>
  <c r="S11" i="1"/>
  <c r="K12" i="1"/>
  <c r="O13" i="1"/>
  <c r="G14" i="1"/>
  <c r="S14" i="1"/>
  <c r="K15" i="1"/>
  <c r="O16" i="1"/>
  <c r="G17" i="1"/>
  <c r="S17" i="1"/>
  <c r="K18" i="1"/>
  <c r="O19" i="1"/>
  <c r="G20" i="1"/>
  <c r="S20" i="1"/>
  <c r="K21" i="1"/>
  <c r="O22" i="1"/>
  <c r="G23" i="1"/>
  <c r="S23" i="1"/>
  <c r="K24" i="1"/>
  <c r="O25" i="1"/>
  <c r="G26" i="1"/>
  <c r="S26" i="1"/>
  <c r="K27" i="1"/>
  <c r="O28" i="1"/>
  <c r="G29" i="1"/>
  <c r="S29" i="1"/>
  <c r="K30" i="1"/>
  <c r="O31" i="1"/>
  <c r="G32" i="1"/>
  <c r="S32" i="1"/>
  <c r="K33" i="1"/>
  <c r="O34" i="1"/>
  <c r="G35" i="1"/>
  <c r="S35" i="1"/>
  <c r="K36" i="1"/>
  <c r="O37" i="1"/>
  <c r="G38" i="1"/>
  <c r="S38" i="1"/>
  <c r="K39" i="1"/>
  <c r="O40" i="1"/>
  <c r="G41" i="1"/>
  <c r="S41" i="1"/>
  <c r="K42" i="1"/>
  <c r="O43" i="1"/>
  <c r="G44" i="1"/>
  <c r="S44" i="1"/>
  <c r="K45" i="1"/>
  <c r="O46" i="1"/>
  <c r="G47" i="1"/>
  <c r="S47" i="1"/>
  <c r="K48" i="1"/>
  <c r="O49" i="1"/>
  <c r="G50" i="1"/>
  <c r="S50" i="1"/>
  <c r="F17" i="1"/>
  <c r="R17" i="1"/>
  <c r="R20" i="1"/>
  <c r="J24" i="1"/>
  <c r="J27" i="1"/>
  <c r="R32" i="1"/>
  <c r="J42" i="1"/>
  <c r="P10" i="1"/>
  <c r="H11" i="1"/>
  <c r="T11" i="1"/>
  <c r="L12" i="1"/>
  <c r="P13" i="1"/>
  <c r="H14" i="1"/>
  <c r="T14" i="1"/>
  <c r="L15" i="1"/>
  <c r="P16" i="1"/>
  <c r="H17" i="1"/>
  <c r="T17" i="1"/>
  <c r="L18" i="1"/>
  <c r="P19" i="1"/>
  <c r="H20" i="1"/>
  <c r="T20" i="1"/>
  <c r="L21" i="1"/>
  <c r="P22" i="1"/>
  <c r="H23" i="1"/>
  <c r="T23" i="1"/>
  <c r="L24" i="1"/>
  <c r="P25" i="1"/>
  <c r="H26" i="1"/>
  <c r="T26" i="1"/>
  <c r="L27" i="1"/>
  <c r="P28" i="1"/>
  <c r="H29" i="1"/>
  <c r="T29" i="1"/>
  <c r="L30" i="1"/>
  <c r="P31" i="1"/>
  <c r="H32" i="1"/>
  <c r="T32" i="1"/>
  <c r="L33" i="1"/>
  <c r="P34" i="1"/>
  <c r="H35" i="1"/>
  <c r="T35" i="1"/>
  <c r="L36" i="1"/>
  <c r="P37" i="1"/>
  <c r="H38" i="1"/>
  <c r="T38" i="1"/>
  <c r="L39" i="1"/>
  <c r="P40" i="1"/>
  <c r="H41" i="1"/>
  <c r="T41" i="1"/>
  <c r="L42" i="1"/>
  <c r="P43" i="1"/>
  <c r="H44" i="1"/>
  <c r="T44" i="1"/>
  <c r="L45" i="1"/>
  <c r="P46" i="1"/>
  <c r="H47" i="1"/>
  <c r="T47" i="1"/>
  <c r="L48" i="1"/>
  <c r="P49" i="1"/>
  <c r="H50" i="1"/>
  <c r="T50" i="1"/>
  <c r="F23" i="1"/>
  <c r="J30" i="1"/>
  <c r="N37" i="1"/>
  <c r="J45" i="1"/>
  <c r="Q10" i="1"/>
  <c r="I11" i="1"/>
  <c r="M12" i="1"/>
  <c r="Q13" i="1"/>
  <c r="I14" i="1"/>
  <c r="M15" i="1"/>
  <c r="Q16" i="1"/>
  <c r="I17" i="1"/>
  <c r="M18" i="1"/>
  <c r="Q19" i="1"/>
  <c r="I20" i="1"/>
  <c r="M21" i="1"/>
  <c r="Q22" i="1"/>
  <c r="I23" i="1"/>
  <c r="M24" i="1"/>
  <c r="Q25" i="1"/>
  <c r="I26" i="1"/>
  <c r="M27" i="1"/>
  <c r="Q28" i="1"/>
  <c r="I29" i="1"/>
  <c r="M30" i="1"/>
  <c r="Q31" i="1"/>
  <c r="I32" i="1"/>
  <c r="M33" i="1"/>
  <c r="Q34" i="1"/>
  <c r="I35" i="1"/>
  <c r="M36" i="1"/>
  <c r="Q37" i="1"/>
  <c r="I38" i="1"/>
  <c r="M39" i="1"/>
  <c r="Q40" i="1"/>
  <c r="I41" i="1"/>
  <c r="M42" i="1"/>
  <c r="Q43" i="1"/>
  <c r="I44" i="1"/>
  <c r="M45" i="1"/>
  <c r="Q46" i="1"/>
  <c r="I47" i="1"/>
  <c r="M48" i="1"/>
  <c r="Q49" i="1"/>
  <c r="I50" i="1"/>
  <c r="N16" i="1"/>
  <c r="F20" i="1"/>
  <c r="J33" i="1"/>
  <c r="J39" i="1"/>
  <c r="F10" i="1"/>
  <c r="R10" i="1"/>
  <c r="J11" i="1"/>
  <c r="N12" i="1"/>
  <c r="F13" i="1"/>
  <c r="R13" i="1"/>
  <c r="J14" i="1"/>
  <c r="N15" i="1"/>
  <c r="F16" i="1"/>
  <c r="R16" i="1"/>
  <c r="J17" i="1"/>
  <c r="N18" i="1"/>
  <c r="F19" i="1"/>
  <c r="R19" i="1"/>
  <c r="J20" i="1"/>
  <c r="N21" i="1"/>
  <c r="F22" i="1"/>
  <c r="R22" i="1"/>
  <c r="J23" i="1"/>
  <c r="N24" i="1"/>
  <c r="F25" i="1"/>
  <c r="R25" i="1"/>
  <c r="J26" i="1"/>
  <c r="N27" i="1"/>
  <c r="F28" i="1"/>
  <c r="R28" i="1"/>
  <c r="J29" i="1"/>
  <c r="N30" i="1"/>
  <c r="F31" i="1"/>
  <c r="R31" i="1"/>
  <c r="J32" i="1"/>
  <c r="N33" i="1"/>
  <c r="F34" i="1"/>
  <c r="R34" i="1"/>
  <c r="J35" i="1"/>
  <c r="N36" i="1"/>
  <c r="F37" i="1"/>
  <c r="R37" i="1"/>
  <c r="J38" i="1"/>
  <c r="N39" i="1"/>
  <c r="F40" i="1"/>
  <c r="R40" i="1"/>
  <c r="J41" i="1"/>
  <c r="N42" i="1"/>
  <c r="F43" i="1"/>
  <c r="R43" i="1"/>
  <c r="J44" i="1"/>
  <c r="N45" i="1"/>
  <c r="F46" i="1"/>
  <c r="R46" i="1"/>
  <c r="J47" i="1"/>
  <c r="N48" i="1"/>
  <c r="F49" i="1"/>
  <c r="R49" i="1"/>
  <c r="J50" i="1"/>
  <c r="F14" i="1"/>
  <c r="J21" i="1"/>
  <c r="R26" i="1"/>
  <c r="J36" i="1"/>
  <c r="F44" i="1"/>
  <c r="N46" i="1"/>
  <c r="G10" i="1"/>
  <c r="S10" i="1"/>
  <c r="K11" i="1"/>
  <c r="O12" i="1"/>
  <c r="G13" i="1"/>
  <c r="S13" i="1"/>
  <c r="K14" i="1"/>
  <c r="O15" i="1"/>
  <c r="G16" i="1"/>
  <c r="S16" i="1"/>
  <c r="K17" i="1"/>
  <c r="O18" i="1"/>
  <c r="G19" i="1"/>
  <c r="S19" i="1"/>
  <c r="K20" i="1"/>
  <c r="O21" i="1"/>
  <c r="G22" i="1"/>
  <c r="S22" i="1"/>
  <c r="K23" i="1"/>
  <c r="O24" i="1"/>
  <c r="G25" i="1"/>
  <c r="S25" i="1"/>
  <c r="K26" i="1"/>
  <c r="O27" i="1"/>
  <c r="G28" i="1"/>
  <c r="S28" i="1"/>
  <c r="K29" i="1"/>
  <c r="O30" i="1"/>
  <c r="G31" i="1"/>
  <c r="S31" i="1"/>
  <c r="K32" i="1"/>
  <c r="O33" i="1"/>
  <c r="G34" i="1"/>
  <c r="S34" i="1"/>
  <c r="K35" i="1"/>
  <c r="O36" i="1"/>
  <c r="G37" i="1"/>
  <c r="S37" i="1"/>
  <c r="K38" i="1"/>
  <c r="O39" i="1"/>
  <c r="G40" i="1"/>
  <c r="S40" i="1"/>
  <c r="K41" i="1"/>
  <c r="O42" i="1"/>
  <c r="G43" i="1"/>
  <c r="S43" i="1"/>
  <c r="K44" i="1"/>
  <c r="O45" i="1"/>
  <c r="G46" i="1"/>
  <c r="S46" i="1"/>
  <c r="K47" i="1"/>
  <c r="O48" i="1"/>
  <c r="G49" i="1"/>
  <c r="S49" i="1"/>
  <c r="K50" i="1"/>
  <c r="R14" i="1"/>
  <c r="N19" i="1"/>
  <c r="F26" i="1"/>
  <c r="F32" i="1"/>
  <c r="F35" i="1"/>
  <c r="R38" i="1"/>
  <c r="R44" i="1"/>
  <c r="F47" i="1"/>
  <c r="H10" i="1"/>
  <c r="T10" i="1"/>
  <c r="L11" i="1"/>
  <c r="P12" i="1"/>
  <c r="H13" i="1"/>
  <c r="T13" i="1"/>
  <c r="L14" i="1"/>
  <c r="P15" i="1"/>
  <c r="H16" i="1"/>
  <c r="T16" i="1"/>
  <c r="L17" i="1"/>
  <c r="P18" i="1"/>
  <c r="H19" i="1"/>
  <c r="T19" i="1"/>
  <c r="L20" i="1"/>
  <c r="P21" i="1"/>
  <c r="H22" i="1"/>
  <c r="T22" i="1"/>
  <c r="L23" i="1"/>
  <c r="P24" i="1"/>
  <c r="H25" i="1"/>
  <c r="T25" i="1"/>
  <c r="L26" i="1"/>
  <c r="P27" i="1"/>
  <c r="H28" i="1"/>
  <c r="T28" i="1"/>
  <c r="L29" i="1"/>
  <c r="P30" i="1"/>
  <c r="H31" i="1"/>
  <c r="T31" i="1"/>
  <c r="L32" i="1"/>
  <c r="P33" i="1"/>
  <c r="H34" i="1"/>
  <c r="T34" i="1"/>
  <c r="L35" i="1"/>
  <c r="P36" i="1"/>
  <c r="H37" i="1"/>
  <c r="T37" i="1"/>
  <c r="L38" i="1"/>
  <c r="P39" i="1"/>
  <c r="H40" i="1"/>
  <c r="T40" i="1"/>
  <c r="L41" i="1"/>
  <c r="P42" i="1"/>
  <c r="H43" i="1"/>
  <c r="T43" i="1"/>
  <c r="L44" i="1"/>
  <c r="P45" i="1"/>
  <c r="H46" i="1"/>
  <c r="T46" i="1"/>
  <c r="L47" i="1"/>
  <c r="P48" i="1"/>
  <c r="H49" i="1"/>
  <c r="T49" i="1"/>
  <c r="L50" i="1"/>
  <c r="J15" i="1"/>
  <c r="J18" i="1"/>
  <c r="R23" i="1"/>
  <c r="R29" i="1"/>
  <c r="R35" i="1"/>
  <c r="N43" i="1"/>
  <c r="F50" i="1"/>
  <c r="I10" i="1"/>
  <c r="M11" i="1"/>
  <c r="Q12" i="1"/>
  <c r="I13" i="1"/>
  <c r="M14" i="1"/>
  <c r="Q15" i="1"/>
  <c r="I16" i="1"/>
  <c r="M17" i="1"/>
  <c r="Q18" i="1"/>
  <c r="I19" i="1"/>
  <c r="M20" i="1"/>
  <c r="Q21" i="1"/>
  <c r="I22" i="1"/>
  <c r="M23" i="1"/>
  <c r="Q24" i="1"/>
  <c r="I25" i="1"/>
  <c r="M26" i="1"/>
  <c r="Q27" i="1"/>
  <c r="I28" i="1"/>
  <c r="M29" i="1"/>
  <c r="Q30" i="1"/>
  <c r="I31" i="1"/>
  <c r="M32" i="1"/>
  <c r="Q33" i="1"/>
  <c r="I34" i="1"/>
  <c r="M35" i="1"/>
  <c r="Q36" i="1"/>
  <c r="I37" i="1"/>
  <c r="M38" i="1"/>
  <c r="Q39" i="1"/>
  <c r="I40" i="1"/>
  <c r="M41" i="1"/>
  <c r="Q42" i="1"/>
  <c r="I43" i="1"/>
  <c r="M44" i="1"/>
  <c r="Q45" i="1"/>
  <c r="I46" i="1"/>
  <c r="M47" i="1"/>
  <c r="Q48" i="1"/>
  <c r="I49" i="1"/>
  <c r="M50" i="1"/>
  <c r="N13" i="1"/>
  <c r="F38" i="1"/>
  <c r="N49" i="1"/>
  <c r="J10" i="1"/>
  <c r="N11" i="1"/>
  <c r="F12" i="1"/>
  <c r="R12" i="1"/>
  <c r="J13" i="1"/>
  <c r="N14" i="1"/>
  <c r="F15" i="1"/>
  <c r="R15" i="1"/>
  <c r="J16" i="1"/>
  <c r="N17" i="1"/>
  <c r="F18" i="1"/>
  <c r="R18" i="1"/>
  <c r="J19" i="1"/>
  <c r="N20" i="1"/>
  <c r="F21" i="1"/>
  <c r="R21" i="1"/>
  <c r="J22" i="1"/>
  <c r="N23" i="1"/>
  <c r="F24" i="1"/>
  <c r="R24" i="1"/>
  <c r="J25" i="1"/>
  <c r="N26" i="1"/>
  <c r="F27" i="1"/>
  <c r="R27" i="1"/>
  <c r="J28" i="1"/>
  <c r="N29" i="1"/>
  <c r="F30" i="1"/>
  <c r="R30" i="1"/>
  <c r="J31" i="1"/>
  <c r="N32" i="1"/>
  <c r="F33" i="1"/>
  <c r="R33" i="1"/>
  <c r="J34" i="1"/>
  <c r="N35" i="1"/>
  <c r="F36" i="1"/>
  <c r="R36" i="1"/>
  <c r="J37" i="1"/>
  <c r="N38" i="1"/>
  <c r="F39" i="1"/>
  <c r="R39" i="1"/>
  <c r="J40" i="1"/>
  <c r="N41" i="1"/>
  <c r="F42" i="1"/>
  <c r="R42" i="1"/>
  <c r="J43" i="1"/>
  <c r="N44" i="1"/>
  <c r="F45" i="1"/>
  <c r="R45" i="1"/>
  <c r="J46" i="1"/>
  <c r="N47" i="1"/>
  <c r="F48" i="1"/>
  <c r="R48" i="1"/>
  <c r="J49" i="1"/>
  <c r="N50" i="1"/>
  <c r="N31" i="1"/>
  <c r="N40" i="1"/>
  <c r="R47" i="1"/>
  <c r="K10" i="1"/>
  <c r="O11" i="1"/>
  <c r="G12" i="1"/>
  <c r="S12" i="1"/>
  <c r="K13" i="1"/>
  <c r="O14" i="1"/>
  <c r="G15" i="1"/>
  <c r="S15" i="1"/>
  <c r="K16" i="1"/>
  <c r="O17" i="1"/>
  <c r="G18" i="1"/>
  <c r="S18" i="1"/>
  <c r="K19" i="1"/>
  <c r="O20" i="1"/>
  <c r="G21" i="1"/>
  <c r="S21" i="1"/>
  <c r="K22" i="1"/>
  <c r="O23" i="1"/>
  <c r="G24" i="1"/>
  <c r="S24" i="1"/>
  <c r="K25" i="1"/>
  <c r="O26" i="1"/>
  <c r="G27" i="1"/>
  <c r="S27" i="1"/>
  <c r="K28" i="1"/>
  <c r="O29" i="1"/>
  <c r="G30" i="1"/>
  <c r="S30" i="1"/>
  <c r="K31" i="1"/>
  <c r="O32" i="1"/>
  <c r="G33" i="1"/>
  <c r="S33" i="1"/>
  <c r="K34" i="1"/>
  <c r="O35" i="1"/>
  <c r="G36" i="1"/>
  <c r="S36" i="1"/>
  <c r="K37" i="1"/>
  <c r="O38" i="1"/>
  <c r="G39" i="1"/>
  <c r="S39" i="1"/>
  <c r="K40" i="1"/>
  <c r="O41" i="1"/>
  <c r="G42" i="1"/>
  <c r="S42" i="1"/>
  <c r="K43" i="1"/>
  <c r="O44" i="1"/>
  <c r="G45" i="1"/>
  <c r="S45" i="1"/>
  <c r="K46" i="1"/>
  <c r="O47" i="1"/>
  <c r="G48" i="1"/>
  <c r="S48" i="1"/>
  <c r="K49" i="1"/>
  <c r="O50" i="1"/>
  <c r="J12" i="1"/>
  <c r="N28" i="1"/>
  <c r="F41" i="1"/>
  <c r="L10" i="1"/>
  <c r="P11" i="1"/>
  <c r="H12" i="1"/>
  <c r="T12" i="1"/>
  <c r="L13" i="1"/>
  <c r="P14" i="1"/>
  <c r="H15" i="1"/>
  <c r="T15" i="1"/>
  <c r="L16" i="1"/>
  <c r="P17" i="1"/>
  <c r="H18" i="1"/>
  <c r="T18" i="1"/>
  <c r="L19" i="1"/>
  <c r="P20" i="1"/>
  <c r="H21" i="1"/>
  <c r="T21" i="1"/>
  <c r="L22" i="1"/>
  <c r="P23" i="1"/>
  <c r="H24" i="1"/>
  <c r="T24" i="1"/>
  <c r="L25" i="1"/>
  <c r="P26" i="1"/>
  <c r="H27" i="1"/>
  <c r="T27" i="1"/>
  <c r="L28" i="1"/>
  <c r="P29" i="1"/>
  <c r="H30" i="1"/>
  <c r="T30" i="1"/>
  <c r="L31" i="1"/>
  <c r="P32" i="1"/>
  <c r="H33" i="1"/>
  <c r="T33" i="1"/>
  <c r="L34" i="1"/>
  <c r="P35" i="1"/>
  <c r="H36" i="1"/>
  <c r="T36" i="1"/>
  <c r="L37" i="1"/>
  <c r="P38" i="1"/>
  <c r="H39" i="1"/>
  <c r="T39" i="1"/>
  <c r="L40" i="1"/>
  <c r="P41" i="1"/>
  <c r="H42" i="1"/>
  <c r="T42" i="1"/>
  <c r="L43" i="1"/>
  <c r="P44" i="1"/>
  <c r="H45" i="1"/>
  <c r="T45" i="1"/>
  <c r="L46" i="1"/>
  <c r="P47" i="1"/>
  <c r="H48" i="1"/>
  <c r="T48" i="1"/>
  <c r="L49" i="1"/>
  <c r="P50" i="1"/>
  <c r="R11" i="1"/>
  <c r="N22" i="1"/>
  <c r="F29" i="1"/>
  <c r="N34" i="1"/>
  <c r="R41" i="1"/>
  <c r="J48" i="1"/>
  <c r="AE9" i="2" l="1"/>
  <c r="A8" i="1" l="1"/>
  <c r="B8" i="1"/>
  <c r="C8" i="1"/>
  <c r="D8" i="1"/>
  <c r="E8" i="1"/>
  <c r="A9" i="1"/>
  <c r="B9" i="1"/>
  <c r="C9" i="1"/>
  <c r="D9" i="1"/>
  <c r="E9" i="1"/>
  <c r="S9" i="1"/>
  <c r="T9" i="1"/>
  <c r="V9" i="2" l="1"/>
  <c r="F9" i="1"/>
  <c r="W9" i="2" l="1"/>
  <c r="X9" i="2"/>
  <c r="Y9" i="2"/>
  <c r="Z9" i="2"/>
  <c r="AA9" i="2"/>
  <c r="AB9" i="2"/>
  <c r="AC9" i="2"/>
  <c r="AD9" i="2"/>
  <c r="AF9" i="2"/>
  <c r="AG9" i="2"/>
  <c r="AH9" i="2"/>
  <c r="AI9" i="2"/>
  <c r="H9" i="1"/>
  <c r="K9" i="1"/>
  <c r="L9" i="1"/>
  <c r="R9" i="1"/>
  <c r="N9" i="1"/>
  <c r="Q9" i="1"/>
  <c r="I9" i="1"/>
  <c r="J9" i="1"/>
  <c r="P9" i="1"/>
  <c r="M9" i="1"/>
  <c r="G9" i="1"/>
  <c r="O9" i="1"/>
  <c r="AJ8" i="2" l="1"/>
  <c r="T8" i="1"/>
  <c r="V8" i="2" l="1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H8" i="1"/>
  <c r="F8" i="1"/>
  <c r="Q8" i="1"/>
  <c r="G8" i="1"/>
  <c r="I8" i="1"/>
  <c r="K8" i="1"/>
  <c r="O8" i="1"/>
  <c r="R8" i="1"/>
  <c r="S8" i="1"/>
  <c r="L8" i="1"/>
  <c r="P8" i="1"/>
  <c r="N8" i="1"/>
  <c r="M8" i="1"/>
  <c r="J8" i="1"/>
</calcChain>
</file>

<file path=xl/sharedStrings.xml><?xml version="1.0" encoding="utf-8"?>
<sst xmlns="http://schemas.openxmlformats.org/spreadsheetml/2006/main" count="307" uniqueCount="128">
  <si>
    <t>Pb</t>
  </si>
  <si>
    <t>As</t>
  </si>
  <si>
    <t>Se</t>
  </si>
  <si>
    <t>Hg</t>
    <phoneticPr fontId="1" type="noConversion"/>
  </si>
  <si>
    <t>Cr</t>
  </si>
  <si>
    <t>Fe</t>
  </si>
  <si>
    <t>Mn</t>
  </si>
  <si>
    <t>Cu</t>
  </si>
  <si>
    <t>Cd</t>
  </si>
  <si>
    <t>Al</t>
  </si>
  <si>
    <t>B</t>
  </si>
  <si>
    <t>Zn</t>
  </si>
  <si>
    <t>U</t>
  </si>
  <si>
    <t>Mo</t>
    <phoneticPr fontId="1" type="noConversion"/>
  </si>
  <si>
    <t>Sb</t>
    <phoneticPr fontId="1" type="noConversion"/>
  </si>
  <si>
    <t>표시자리수</t>
    <phoneticPr fontId="1" type="noConversion"/>
  </si>
  <si>
    <t>LOQ(ppb)</t>
    <phoneticPr fontId="1" type="noConversion"/>
  </si>
  <si>
    <t>표시기준</t>
    <phoneticPr fontId="1" type="noConversion"/>
  </si>
  <si>
    <t>수질기준</t>
    <phoneticPr fontId="1" type="noConversion"/>
  </si>
  <si>
    <t>샘물,염수</t>
    <phoneticPr fontId="1" type="noConversion"/>
  </si>
  <si>
    <t>수도0.05</t>
    <phoneticPr fontId="1" type="noConversion"/>
  </si>
  <si>
    <t>번호</t>
  </si>
  <si>
    <t>접수번호</t>
  </si>
  <si>
    <t>채취장소</t>
  </si>
  <si>
    <t>시료명</t>
  </si>
  <si>
    <t>접수일</t>
  </si>
  <si>
    <t>Hg</t>
  </si>
  <si>
    <t>최종 결과</t>
    <phoneticPr fontId="1" type="noConversion"/>
  </si>
  <si>
    <t>분석 결과</t>
    <phoneticPr fontId="1" type="noConversion"/>
  </si>
  <si>
    <t>LOQ(ppm)</t>
    <phoneticPr fontId="1" type="noConversion"/>
  </si>
  <si>
    <t>Mo</t>
  </si>
  <si>
    <t>Sb</t>
  </si>
  <si>
    <t>*0.07</t>
  </si>
  <si>
    <t>*0.07</t>
    <phoneticPr fontId="1" type="noConversion"/>
  </si>
  <si>
    <t>*0.015</t>
  </si>
  <si>
    <t>*0.015</t>
    <phoneticPr fontId="1" type="noConversion"/>
  </si>
  <si>
    <t>st-5</t>
    <phoneticPr fontId="1" type="noConversion"/>
  </si>
  <si>
    <t>먹는샘물/먹는샘물제품수</t>
  </si>
  <si>
    <t>운반바탕시료</t>
  </si>
  <si>
    <t>옥내급수관/옥내급수관+출장</t>
  </si>
  <si>
    <t>2782300165-01</t>
  </si>
  <si>
    <t>경기 가평군 가평읍 달전리 391-1 수돗물(가평)</t>
  </si>
  <si>
    <t>1782300154-01</t>
  </si>
  <si>
    <t>경기 양주시 백석읍 기산로440번길 74-19 송천</t>
  </si>
  <si>
    <t>4782300054-01</t>
  </si>
  <si>
    <t>1782300155-01</t>
  </si>
  <si>
    <t>경기도 의정부시 체육로 265-25</t>
  </si>
  <si>
    <t>4782300042-01</t>
  </si>
  <si>
    <t>에이워터 내추럴 알칼리수</t>
  </si>
  <si>
    <t>4782300042-02</t>
  </si>
  <si>
    <t>37.4 미네랄워터</t>
  </si>
  <si>
    <t>4782300042-03</t>
  </si>
  <si>
    <t>물마루</t>
  </si>
  <si>
    <t>4782300042-04</t>
  </si>
  <si>
    <t>춘천 옥산가</t>
  </si>
  <si>
    <t>4782300042-05</t>
  </si>
  <si>
    <t>에이웰88 알카리수</t>
  </si>
  <si>
    <t>4782300042-06</t>
  </si>
  <si>
    <t>리본 워터</t>
  </si>
  <si>
    <t>4782300042-07</t>
  </si>
  <si>
    <t>면역수</t>
  </si>
  <si>
    <t>4782300042-08</t>
  </si>
  <si>
    <t>에이수 프리미엄 알칼리수</t>
  </si>
  <si>
    <t>4782300042-09</t>
  </si>
  <si>
    <t>유니온 천년 알칼리수</t>
  </si>
  <si>
    <t>4782300042-10</t>
  </si>
  <si>
    <t>오투유</t>
  </si>
  <si>
    <t>4782300042-11</t>
  </si>
  <si>
    <t>산소통통</t>
  </si>
  <si>
    <t>4782300042-12</t>
  </si>
  <si>
    <t>제주 용암수</t>
  </si>
  <si>
    <t>4782300042-13</t>
  </si>
  <si>
    <t>수피아 17배 산소수</t>
  </si>
  <si>
    <t>4782300042-14</t>
  </si>
  <si>
    <t>산소랑</t>
  </si>
  <si>
    <t>4782300042-15</t>
  </si>
  <si>
    <t>다현산소수</t>
  </si>
  <si>
    <t>4782300042-16</t>
  </si>
  <si>
    <t>이뮤니프 메가 미네랄 워터</t>
  </si>
  <si>
    <t>4782300042-17</t>
  </si>
  <si>
    <t>미네랄 메이킹 7.4</t>
  </si>
  <si>
    <t>4782300042-18</t>
  </si>
  <si>
    <t>당하수</t>
  </si>
  <si>
    <t>4782300042-19</t>
  </si>
  <si>
    <t>뉴글라세</t>
  </si>
  <si>
    <t>4782300042-20</t>
  </si>
  <si>
    <t>닥터M</t>
  </si>
  <si>
    <t>4782300042-21</t>
  </si>
  <si>
    <t>휴웰수</t>
  </si>
  <si>
    <t>4782300042-22</t>
  </si>
  <si>
    <t>일라이트 자연한모금</t>
  </si>
  <si>
    <t>4782300042-23</t>
  </si>
  <si>
    <t>일라이트 pH한모금</t>
  </si>
  <si>
    <t>4782300042-24</t>
  </si>
  <si>
    <t>미네락 300</t>
  </si>
  <si>
    <t>4782300042-25</t>
  </si>
  <si>
    <t>미다수</t>
  </si>
  <si>
    <t>4782300042-26</t>
  </si>
  <si>
    <t>기정 알칼리수</t>
  </si>
  <si>
    <t>4782300042-27</t>
  </si>
  <si>
    <t>닥터 코아</t>
  </si>
  <si>
    <t>4782300042-28</t>
  </si>
  <si>
    <t>미네랄 파동수</t>
  </si>
  <si>
    <t>4782300042-29</t>
  </si>
  <si>
    <t>미네랄 600</t>
  </si>
  <si>
    <t>4782300042-30</t>
  </si>
  <si>
    <t>리얼마미수플러스</t>
  </si>
  <si>
    <t>4782300042-31</t>
  </si>
  <si>
    <t>이즈미오</t>
  </si>
  <si>
    <t>4782300042-32</t>
  </si>
  <si>
    <t>덕유산 수 수소워터</t>
  </si>
  <si>
    <t>4782300042-33</t>
  </si>
  <si>
    <t>퓨워터 하이드로젠 프리미엄</t>
  </si>
  <si>
    <t>4782300042-34</t>
  </si>
  <si>
    <t>엔케이워터(NK water)</t>
  </si>
  <si>
    <t>수도/상수정수/상수정수</t>
  </si>
  <si>
    <t>08-28</t>
  </si>
  <si>
    <t>지하수/먹는물/지하수 46항+출장</t>
  </si>
  <si>
    <t>08-30</t>
  </si>
  <si>
    <t>지하수/먹는물/지하수 46항(현장이중시료)</t>
  </si>
  <si>
    <t>08-29</t>
  </si>
  <si>
    <t>0.576217395089594</t>
    <phoneticPr fontId="1" type="noConversion"/>
  </si>
  <si>
    <t>8.4377468264726</t>
  </si>
  <si>
    <t>0.677917224281293</t>
    <phoneticPr fontId="1" type="noConversion"/>
  </si>
  <si>
    <t>0.589296556562657</t>
    <phoneticPr fontId="1" type="noConversion"/>
  </si>
  <si>
    <t>샘물(1),염수(2)</t>
    <phoneticPr fontId="1" type="noConversion"/>
  </si>
  <si>
    <t>0.05(1-2)</t>
    <phoneticPr fontId="1" type="noConversion"/>
  </si>
  <si>
    <t>0.05(2)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</si>
</sst>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.000_);[Red]\(0.000\)"/>
    <numFmt numFmtId="177" formatCode="0.00_);[Red]\(0.00\)"/>
    <numFmt numFmtId="178" formatCode="0.000"/>
    <numFmt numFmtId="179" formatCode="0.0000"/>
    <numFmt numFmtId="180" formatCode="0.00000"/>
    <numFmt numFmtId="181" formatCode="0.0"/>
    <numFmt numFmtId="182" formatCode="0.0000_);[Red]\(0.0000\)"/>
    <numFmt numFmtId="183" formatCode="0.00000_);[Red]\(0.00000\)"/>
    <numFmt numFmtId="184" formatCode="0.0000_ "/>
    <numFmt numFmtId="185" formatCode="0.000_ 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Arial"/>
      <family val="2"/>
    </font>
    <font>
      <sz val="9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ajor"/>
    </font>
    <font>
      <b/>
      <sz val="20"/>
      <color theme="4"/>
      <name val="맑은 고딕"/>
      <family val="3"/>
      <charset val="129"/>
      <scheme val="major"/>
    </font>
    <font>
      <b/>
      <sz val="9"/>
      <name val="돋움"/>
      <family val="3"/>
      <charset val="129"/>
    </font>
    <font>
      <sz val="9"/>
      <color theme="1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8"/>
      <name val="돋움"/>
      <family val="3"/>
      <charset val="129"/>
    </font>
    <font>
      <sz val="8"/>
      <name val="돋움"/>
      <family val="3"/>
      <charset val="129"/>
    </font>
    <font>
      <sz val="7.5"/>
      <name val="돋움"/>
      <family val="3"/>
      <charset val="129"/>
    </font>
    <font>
      <sz val="7.5"/>
      <color rgb="FFFF0000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95">
    <xf numFmtId="0" fontId="0" fillId="0" borderId="0" xfId="0">
      <alignment vertical="center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176" fontId="3" fillId="0" borderId="0" xfId="0" applyNumberFormat="1" applyFont="1" applyAlignment="1">
      <alignment vertical="center" shrinkToFit="1"/>
    </xf>
    <xf numFmtId="177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4" fillId="2" borderId="1" xfId="0" applyFont="1" applyFill="1" applyBorder="1" applyAlignment="1">
      <alignment horizontal="center" vertical="center" shrinkToFit="1"/>
    </xf>
    <xf numFmtId="0" fontId="4" fillId="3" borderId="1" xfId="0" applyFont="1" applyFill="1" applyBorder="1" applyAlignment="1">
      <alignment horizontal="center" vertical="center" shrinkToFit="1"/>
    </xf>
    <xf numFmtId="178" fontId="4" fillId="3" borderId="1" xfId="0" applyNumberFormat="1" applyFont="1" applyFill="1" applyBorder="1" applyAlignment="1">
      <alignment horizontal="center" vertical="center" shrinkToFit="1"/>
    </xf>
    <xf numFmtId="2" fontId="4" fillId="3" borderId="1" xfId="0" applyNumberFormat="1" applyFont="1" applyFill="1" applyBorder="1" applyAlignment="1">
      <alignment horizontal="center" vertical="center" shrinkToFit="1"/>
    </xf>
    <xf numFmtId="179" fontId="4" fillId="3" borderId="1" xfId="0" applyNumberFormat="1" applyFont="1" applyFill="1" applyBorder="1" applyAlignment="1">
      <alignment horizontal="center" vertical="center" shrinkToFit="1"/>
    </xf>
    <xf numFmtId="180" fontId="4" fillId="3" borderId="1" xfId="0" applyNumberFormat="1" applyFont="1" applyFill="1" applyBorder="1" applyAlignment="1">
      <alignment horizontal="center" vertical="center" shrinkToFit="1"/>
    </xf>
    <xf numFmtId="180" fontId="4" fillId="0" borderId="0" xfId="0" applyNumberFormat="1" applyFont="1" applyFill="1" applyBorder="1" applyAlignment="1">
      <alignment horizontal="center" vertical="center" shrinkToFit="1"/>
    </xf>
    <xf numFmtId="0" fontId="4" fillId="4" borderId="1" xfId="0" applyFont="1" applyFill="1" applyBorder="1" applyAlignment="1">
      <alignment horizontal="center" vertical="center" shrinkToFit="1"/>
    </xf>
    <xf numFmtId="178" fontId="4" fillId="0" borderId="0" xfId="0" applyNumberFormat="1" applyFont="1" applyFill="1" applyBorder="1" applyAlignment="1">
      <alignment horizontal="center" vertical="center" shrinkToFit="1"/>
    </xf>
    <xf numFmtId="0" fontId="5" fillId="6" borderId="1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left" vertical="center" shrinkToFit="1"/>
    </xf>
    <xf numFmtId="0" fontId="7" fillId="0" borderId="0" xfId="0" applyFont="1" applyAlignment="1">
      <alignment horizontal="center" vertical="center" shrinkToFit="1"/>
    </xf>
    <xf numFmtId="0" fontId="7" fillId="0" borderId="1" xfId="1" applyFont="1" applyFill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center" vertical="center" shrinkToFit="1"/>
    </xf>
    <xf numFmtId="182" fontId="7" fillId="0" borderId="0" xfId="0" applyNumberFormat="1" applyFont="1" applyAlignment="1">
      <alignment horizontal="center" vertical="center" shrinkToFit="1"/>
    </xf>
    <xf numFmtId="183" fontId="7" fillId="0" borderId="0" xfId="0" applyNumberFormat="1" applyFont="1" applyAlignment="1">
      <alignment horizontal="center" vertical="center" shrinkToFit="1"/>
    </xf>
    <xf numFmtId="0" fontId="3" fillId="0" borderId="0" xfId="0" applyFont="1" applyFill="1" applyAlignment="1">
      <alignment horizontal="center" vertical="center" shrinkToFit="1"/>
    </xf>
    <xf numFmtId="176" fontId="3" fillId="0" borderId="0" xfId="0" applyNumberFormat="1" applyFont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176" fontId="8" fillId="0" borderId="0" xfId="0" applyNumberFormat="1" applyFont="1" applyAlignment="1">
      <alignment vertical="center" shrinkToFit="1"/>
    </xf>
    <xf numFmtId="177" fontId="8" fillId="0" borderId="0" xfId="0" applyNumberFormat="1" applyFont="1" applyAlignment="1">
      <alignment vertical="center" shrinkToFit="1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vertical="center"/>
    </xf>
    <xf numFmtId="0" fontId="9" fillId="2" borderId="1" xfId="0" applyFont="1" applyFill="1" applyBorder="1" applyAlignment="1">
      <alignment horizontal="center" vertical="center" shrinkToFit="1"/>
    </xf>
    <xf numFmtId="0" fontId="9" fillId="3" borderId="1" xfId="0" applyFont="1" applyFill="1" applyBorder="1" applyAlignment="1">
      <alignment horizontal="center" vertical="center" shrinkToFit="1"/>
    </xf>
    <xf numFmtId="178" fontId="9" fillId="3" borderId="1" xfId="0" applyNumberFormat="1" applyFont="1" applyFill="1" applyBorder="1" applyAlignment="1">
      <alignment horizontal="center" vertical="center" shrinkToFit="1"/>
    </xf>
    <xf numFmtId="2" fontId="9" fillId="3" borderId="1" xfId="0" applyNumberFormat="1" applyFont="1" applyFill="1" applyBorder="1" applyAlignment="1">
      <alignment horizontal="center" vertical="center" shrinkToFit="1"/>
    </xf>
    <xf numFmtId="179" fontId="9" fillId="3" borderId="1" xfId="0" applyNumberFormat="1" applyFont="1" applyFill="1" applyBorder="1" applyAlignment="1">
      <alignment horizontal="center" vertical="center" shrinkToFit="1"/>
    </xf>
    <xf numFmtId="180" fontId="9" fillId="3" borderId="1" xfId="0" applyNumberFormat="1" applyFont="1" applyFill="1" applyBorder="1" applyAlignment="1">
      <alignment horizontal="center" vertical="center" shrinkToFit="1"/>
    </xf>
    <xf numFmtId="180" fontId="9" fillId="0" borderId="0" xfId="0" applyNumberFormat="1" applyFont="1" applyFill="1" applyBorder="1" applyAlignment="1">
      <alignment horizontal="center" vertical="center" shrinkToFit="1"/>
    </xf>
    <xf numFmtId="0" fontId="9" fillId="4" borderId="1" xfId="0" applyFont="1" applyFill="1" applyBorder="1" applyAlignment="1">
      <alignment horizontal="center" vertical="center" shrinkToFit="1"/>
    </xf>
    <xf numFmtId="2" fontId="9" fillId="4" borderId="1" xfId="0" applyNumberFormat="1" applyFont="1" applyFill="1" applyBorder="1" applyAlignment="1">
      <alignment horizontal="center" vertical="center" shrinkToFit="1"/>
    </xf>
    <xf numFmtId="178" fontId="9" fillId="4" borderId="1" xfId="0" applyNumberFormat="1" applyFont="1" applyFill="1" applyBorder="1" applyAlignment="1">
      <alignment horizontal="center" vertical="center" shrinkToFit="1"/>
    </xf>
    <xf numFmtId="181" fontId="9" fillId="4" borderId="1" xfId="0" applyNumberFormat="1" applyFont="1" applyFill="1" applyBorder="1" applyAlignment="1">
      <alignment horizontal="center" vertical="center" shrinkToFit="1"/>
    </xf>
    <xf numFmtId="1" fontId="9" fillId="4" borderId="1" xfId="0" applyNumberFormat="1" applyFont="1" applyFill="1" applyBorder="1" applyAlignment="1">
      <alignment horizontal="center" vertical="center" shrinkToFit="1"/>
    </xf>
    <xf numFmtId="178" fontId="9" fillId="0" borderId="0" xfId="0" applyNumberFormat="1" applyFont="1" applyFill="1" applyBorder="1" applyAlignment="1">
      <alignment horizontal="center" vertical="center" shrinkToFit="1"/>
    </xf>
    <xf numFmtId="0" fontId="9" fillId="4" borderId="2" xfId="0" applyFont="1" applyFill="1" applyBorder="1" applyAlignment="1">
      <alignment horizontal="center" vertical="center" shrinkToFit="1"/>
    </xf>
    <xf numFmtId="178" fontId="9" fillId="4" borderId="2" xfId="0" applyNumberFormat="1" applyFont="1" applyFill="1" applyBorder="1" applyAlignment="1">
      <alignment horizontal="center" vertical="center" shrinkToFit="1"/>
    </xf>
    <xf numFmtId="2" fontId="9" fillId="4" borderId="2" xfId="0" applyNumberFormat="1" applyFont="1" applyFill="1" applyBorder="1" applyAlignment="1">
      <alignment horizontal="center" vertical="center" shrinkToFit="1"/>
    </xf>
    <xf numFmtId="0" fontId="8" fillId="0" borderId="0" xfId="0" applyFont="1" applyAlignment="1">
      <alignment horizontal="left" vertical="center"/>
    </xf>
    <xf numFmtId="0" fontId="9" fillId="0" borderId="1" xfId="0" applyFont="1" applyBorder="1" applyAlignment="1">
      <alignment horizontal="left" vertical="center" shrinkToFit="1"/>
    </xf>
    <xf numFmtId="0" fontId="6" fillId="6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shrinkToFit="1"/>
    </xf>
    <xf numFmtId="0" fontId="12" fillId="6" borderId="1" xfId="0" applyFont="1" applyFill="1" applyBorder="1" applyAlignment="1">
      <alignment horizontal="center" vertical="center"/>
    </xf>
    <xf numFmtId="49" fontId="7" fillId="0" borderId="1" xfId="1" applyNumberFormat="1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 shrinkToFit="1"/>
    </xf>
    <xf numFmtId="0" fontId="12" fillId="5" borderId="1" xfId="0" applyFont="1" applyFill="1" applyBorder="1" applyAlignment="1">
      <alignment horizontal="center" vertical="center" shrinkToFit="1"/>
    </xf>
    <xf numFmtId="176" fontId="12" fillId="5" borderId="1" xfId="0" applyNumberFormat="1" applyFont="1" applyFill="1" applyBorder="1" applyAlignment="1">
      <alignment horizontal="center" vertical="center" shrinkToFit="1"/>
    </xf>
    <xf numFmtId="177" fontId="12" fillId="5" borderId="1" xfId="0" applyNumberFormat="1" applyFont="1" applyFill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 shrinkToFit="1"/>
    </xf>
    <xf numFmtId="179" fontId="3" fillId="0" borderId="1" xfId="0" applyNumberFormat="1" applyFont="1" applyFill="1" applyBorder="1" applyAlignment="1">
      <alignment horizontal="center" vertical="center" shrinkToFit="1"/>
    </xf>
    <xf numFmtId="0" fontId="4" fillId="9" borderId="1" xfId="0" applyFont="1" applyFill="1" applyBorder="1" applyAlignment="1">
      <alignment horizontal="center" vertical="center" shrinkToFit="1"/>
    </xf>
    <xf numFmtId="2" fontId="4" fillId="9" borderId="1" xfId="0" applyNumberFormat="1" applyFont="1" applyFill="1" applyBorder="1" applyAlignment="1">
      <alignment horizontal="center" vertical="center" shrinkToFit="1"/>
    </xf>
    <xf numFmtId="178" fontId="4" fillId="9" borderId="1" xfId="0" applyNumberFormat="1" applyFont="1" applyFill="1" applyBorder="1" applyAlignment="1">
      <alignment horizontal="center" vertical="center" shrinkToFit="1"/>
    </xf>
    <xf numFmtId="181" fontId="4" fillId="9" borderId="1" xfId="0" applyNumberFormat="1" applyFont="1" applyFill="1" applyBorder="1" applyAlignment="1">
      <alignment horizontal="center" vertical="center" shrinkToFit="1"/>
    </xf>
    <xf numFmtId="1" fontId="4" fillId="9" borderId="1" xfId="0" applyNumberFormat="1" applyFont="1" applyFill="1" applyBorder="1" applyAlignment="1">
      <alignment horizontal="center" vertical="center" shrinkToFit="1"/>
    </xf>
    <xf numFmtId="0" fontId="4" fillId="9" borderId="2" xfId="0" applyFont="1" applyFill="1" applyBorder="1" applyAlignment="1">
      <alignment horizontal="center" vertical="center" shrinkToFit="1"/>
    </xf>
    <xf numFmtId="178" fontId="4" fillId="9" borderId="2" xfId="0" applyNumberFormat="1" applyFont="1" applyFill="1" applyBorder="1" applyAlignment="1">
      <alignment horizontal="center" vertical="center" shrinkToFit="1"/>
    </xf>
    <xf numFmtId="2" fontId="4" fillId="9" borderId="2" xfId="0" applyNumberFormat="1" applyFont="1" applyFill="1" applyBorder="1" applyAlignment="1">
      <alignment horizontal="center" vertical="center" shrinkToFit="1"/>
    </xf>
    <xf numFmtId="0" fontId="15" fillId="6" borderId="1" xfId="0" applyFont="1" applyFill="1" applyBorder="1" applyAlignment="1">
      <alignment horizontal="center" vertical="center" shrinkToFit="1"/>
    </xf>
    <xf numFmtId="0" fontId="15" fillId="0" borderId="0" xfId="0" applyFont="1" applyFill="1" applyBorder="1" applyAlignment="1">
      <alignment horizontal="center" vertical="center" shrinkToFit="1"/>
    </xf>
    <xf numFmtId="184" fontId="16" fillId="0" borderId="1" xfId="0" applyNumberFormat="1" applyFont="1" applyFill="1" applyBorder="1" applyAlignment="1">
      <alignment horizontal="center" vertical="center" shrinkToFit="1"/>
    </xf>
    <xf numFmtId="183" fontId="16" fillId="0" borderId="1" xfId="0" applyNumberFormat="1" applyFont="1" applyBorder="1" applyAlignment="1">
      <alignment horizontal="center" vertical="center" shrinkToFit="1"/>
    </xf>
    <xf numFmtId="0" fontId="15" fillId="0" borderId="1" xfId="0" applyFont="1" applyFill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49" fontId="17" fillId="7" borderId="7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184" fontId="16" fillId="0" borderId="1" xfId="0" applyNumberFormat="1" applyFont="1" applyBorder="1" applyAlignment="1">
      <alignment horizontal="center" vertical="center" shrinkToFit="1"/>
    </xf>
    <xf numFmtId="49" fontId="17" fillId="7" borderId="1" xfId="0" applyNumberFormat="1" applyFont="1" applyFill="1" applyBorder="1" applyAlignment="1">
      <alignment horizontal="center" vertical="center" wrapText="1"/>
    </xf>
    <xf numFmtId="49" fontId="17" fillId="8" borderId="1" xfId="0" applyNumberFormat="1" applyFont="1" applyFill="1" applyBorder="1" applyAlignment="1">
      <alignment horizontal="center" vertical="center" wrapText="1"/>
    </xf>
    <xf numFmtId="185" fontId="16" fillId="0" borderId="1" xfId="0" applyNumberFormat="1" applyFont="1" applyBorder="1" applyAlignment="1">
      <alignment horizontal="center" vertical="center" shrinkToFit="1"/>
    </xf>
    <xf numFmtId="49" fontId="17" fillId="0" borderId="1" xfId="0" applyNumberFormat="1" applyFont="1" applyFill="1" applyBorder="1" applyAlignment="1">
      <alignment horizontal="center" vertical="center" wrapText="1"/>
    </xf>
    <xf numFmtId="0" fontId="18" fillId="7" borderId="1" xfId="0" applyNumberFormat="1" applyFont="1" applyFill="1" applyBorder="1" applyAlignment="1">
      <alignment horizontal="center" vertical="center" wrapText="1"/>
    </xf>
    <xf numFmtId="49" fontId="18" fillId="7" borderId="1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0" fillId="0" borderId="4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 shrinkToFit="1"/>
    </xf>
    <xf numFmtId="0" fontId="10" fillId="0" borderId="6" xfId="0" applyFont="1" applyBorder="1" applyAlignment="1">
      <alignment horizontal="center" vertical="center" shrinkToFit="1"/>
    </xf>
    <xf numFmtId="179" fontId="3" fillId="10" borderId="1" xfId="0" applyNumberFormat="1" applyFont="1" applyFill="1" applyBorder="1" applyAlignment="1">
      <alignment horizontal="center" vertical="center" shrinkToFit="1"/>
    </xf>
    <xf numFmtId="179" fontId="3" fillId="11" borderId="1" xfId="0" applyNumberFormat="1" applyFont="1" applyFill="1" applyBorder="1" applyAlignment="1">
      <alignment horizontal="center" vertical="center" shrinkToFit="1"/>
    </xf>
    <xf numFmtId="180" fontId="3" fillId="10" borderId="1" xfId="0" applyNumberFormat="1" applyFont="1" applyFill="1" applyBorder="1" applyAlignment="1">
      <alignment horizontal="center" vertical="center" shrinkToFit="1"/>
    </xf>
  </cellXfs>
  <cellStyles count="2">
    <cellStyle name="Normal" xfId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9"/>
  <sheetViews>
    <sheetView tabSelected="1" zoomScale="115" zoomScaleNormal="115" workbookViewId="0">
      <pane ySplit="7" topLeftCell="A8" activePane="bottomLeft" state="frozen"/>
      <selection pane="bottomLeft" activeCell="N12" sqref="N12"/>
    </sheetView>
  </sheetViews>
  <sheetFormatPr defaultRowHeight="12" x14ac:dyDescent="0.3"/>
  <cols>
    <col min="1" max="1" width="5.875" style="48" customWidth="1"/>
    <col min="2" max="2" width="14.5" style="48" customWidth="1"/>
    <col min="3" max="3" width="13.25" style="48" customWidth="1"/>
    <col min="4" max="4" width="18" style="48" customWidth="1"/>
    <col min="5" max="5" width="10" style="48" bestFit="1" customWidth="1"/>
    <col min="6" max="20" width="7.5" style="31" customWidth="1"/>
    <col min="21" max="21" width="0.875" style="31" customWidth="1"/>
    <col min="22" max="35" width="4.875" style="31" customWidth="1"/>
    <col min="36" max="36" width="8.75" style="31" customWidth="1"/>
    <col min="37" max="16384" width="9" style="31"/>
  </cols>
  <sheetData>
    <row r="1" spans="1:36" x14ac:dyDescent="0.3">
      <c r="A1" s="85" t="s">
        <v>28</v>
      </c>
      <c r="B1" s="85"/>
      <c r="C1" s="85"/>
      <c r="D1" s="86"/>
      <c r="E1" s="49"/>
      <c r="F1" s="26" t="s">
        <v>0</v>
      </c>
      <c r="G1" s="26" t="s">
        <v>1</v>
      </c>
      <c r="H1" s="26" t="s">
        <v>2</v>
      </c>
      <c r="I1" s="26" t="s">
        <v>3</v>
      </c>
      <c r="J1" s="26" t="s">
        <v>4</v>
      </c>
      <c r="K1" s="26" t="s">
        <v>5</v>
      </c>
      <c r="L1" s="26" t="s">
        <v>6</v>
      </c>
      <c r="M1" s="26" t="s">
        <v>7</v>
      </c>
      <c r="N1" s="26" t="s">
        <v>8</v>
      </c>
      <c r="O1" s="26" t="s">
        <v>9</v>
      </c>
      <c r="P1" s="26" t="s">
        <v>10</v>
      </c>
      <c r="Q1" s="26" t="s">
        <v>11</v>
      </c>
      <c r="R1" s="26" t="s">
        <v>12</v>
      </c>
      <c r="S1" s="26" t="s">
        <v>13</v>
      </c>
      <c r="T1" s="26" t="s">
        <v>14</v>
      </c>
      <c r="U1" s="27"/>
      <c r="V1" s="28"/>
      <c r="W1" s="28"/>
      <c r="X1" s="28"/>
      <c r="Y1" s="28"/>
      <c r="Z1" s="29"/>
      <c r="AA1" s="28"/>
      <c r="AB1" s="28"/>
      <c r="AC1" s="28"/>
      <c r="AD1" s="28"/>
      <c r="AE1" s="28"/>
      <c r="AF1" s="28"/>
      <c r="AG1" s="28"/>
      <c r="AH1" s="28"/>
      <c r="AI1" s="28"/>
      <c r="AJ1" s="30"/>
    </row>
    <row r="2" spans="1:36" x14ac:dyDescent="0.3">
      <c r="A2" s="85"/>
      <c r="B2" s="85"/>
      <c r="C2" s="85"/>
      <c r="D2" s="86"/>
      <c r="E2" s="32" t="s">
        <v>15</v>
      </c>
      <c r="F2" s="32">
        <v>3</v>
      </c>
      <c r="G2" s="32">
        <v>3</v>
      </c>
      <c r="H2" s="32">
        <v>3</v>
      </c>
      <c r="I2" s="32">
        <v>3</v>
      </c>
      <c r="J2" s="32">
        <v>3</v>
      </c>
      <c r="K2" s="32">
        <v>2</v>
      </c>
      <c r="L2" s="32">
        <v>3</v>
      </c>
      <c r="M2" s="32">
        <v>3</v>
      </c>
      <c r="N2" s="32">
        <v>3</v>
      </c>
      <c r="O2" s="32">
        <v>2</v>
      </c>
      <c r="P2" s="32">
        <v>2</v>
      </c>
      <c r="Q2" s="32">
        <v>3</v>
      </c>
      <c r="R2" s="32">
        <v>4</v>
      </c>
      <c r="S2" s="32">
        <v>4</v>
      </c>
      <c r="T2" s="32">
        <v>5</v>
      </c>
      <c r="U2" s="27"/>
      <c r="V2" s="28"/>
      <c r="W2" s="28"/>
      <c r="X2" s="28"/>
      <c r="Y2" s="28"/>
      <c r="Z2" s="29"/>
      <c r="AA2" s="28"/>
      <c r="AB2" s="28"/>
      <c r="AC2" s="28"/>
      <c r="AD2" s="28"/>
      <c r="AE2" s="28"/>
      <c r="AF2" s="28"/>
      <c r="AG2" s="28"/>
      <c r="AH2" s="28"/>
      <c r="AI2" s="28"/>
      <c r="AJ2" s="30"/>
    </row>
    <row r="3" spans="1:36" x14ac:dyDescent="0.3">
      <c r="A3" s="85"/>
      <c r="B3" s="85"/>
      <c r="C3" s="85"/>
      <c r="D3" s="86"/>
      <c r="E3" s="32" t="s">
        <v>29</v>
      </c>
      <c r="F3" s="32">
        <v>1E-3</v>
      </c>
      <c r="G3" s="32">
        <v>1E-3</v>
      </c>
      <c r="H3" s="32">
        <v>1E-3</v>
      </c>
      <c r="I3" s="32">
        <v>5.0000000000000001E-4</v>
      </c>
      <c r="J3" s="32">
        <v>1E-3</v>
      </c>
      <c r="K3" s="32">
        <v>3.0000000000000001E-3</v>
      </c>
      <c r="L3" s="32">
        <v>5.0000000000000001E-4</v>
      </c>
      <c r="M3" s="32">
        <v>1E-3</v>
      </c>
      <c r="N3" s="32">
        <v>5.0000000000000001E-4</v>
      </c>
      <c r="O3" s="32">
        <v>2E-3</v>
      </c>
      <c r="P3" s="32">
        <v>1E-3</v>
      </c>
      <c r="Q3" s="32">
        <v>1E-3</v>
      </c>
      <c r="R3" s="32">
        <v>1E-4</v>
      </c>
      <c r="S3" s="32"/>
      <c r="T3" s="32"/>
      <c r="U3" s="27"/>
      <c r="V3" s="28"/>
      <c r="W3" s="28"/>
      <c r="X3" s="28"/>
      <c r="Y3" s="28"/>
      <c r="Z3" s="29"/>
      <c r="AA3" s="28"/>
      <c r="AB3" s="28"/>
      <c r="AC3" s="28"/>
      <c r="AD3" s="28"/>
      <c r="AE3" s="28"/>
      <c r="AF3" s="28"/>
      <c r="AG3" s="28"/>
      <c r="AH3" s="28"/>
      <c r="AI3" s="28"/>
      <c r="AJ3" s="30"/>
    </row>
    <row r="4" spans="1:36" x14ac:dyDescent="0.3">
      <c r="A4" s="85"/>
      <c r="B4" s="85"/>
      <c r="C4" s="85"/>
      <c r="D4" s="86"/>
      <c r="E4" s="33" t="s">
        <v>17</v>
      </c>
      <c r="F4" s="34">
        <v>5.0000000000000001E-3</v>
      </c>
      <c r="G4" s="34">
        <v>5.0000000000000001E-3</v>
      </c>
      <c r="H4" s="34">
        <v>5.0000000000000001E-3</v>
      </c>
      <c r="I4" s="34">
        <v>1E-3</v>
      </c>
      <c r="J4" s="34">
        <v>8.0000000000000002E-3</v>
      </c>
      <c r="K4" s="35">
        <v>0.05</v>
      </c>
      <c r="L4" s="34">
        <v>4.0000000000000001E-3</v>
      </c>
      <c r="M4" s="34">
        <v>4.0000000000000001E-3</v>
      </c>
      <c r="N4" s="34">
        <v>2E-3</v>
      </c>
      <c r="O4" s="35">
        <v>0.02</v>
      </c>
      <c r="P4" s="35">
        <v>0.01</v>
      </c>
      <c r="Q4" s="34">
        <v>2E-3</v>
      </c>
      <c r="R4" s="36">
        <v>1E-4</v>
      </c>
      <c r="S4" s="36">
        <v>2.9999999999999997E-4</v>
      </c>
      <c r="T4" s="37">
        <v>5.0000000000000002E-5</v>
      </c>
      <c r="U4" s="38"/>
      <c r="V4" s="28"/>
      <c r="W4" s="28"/>
      <c r="X4" s="28"/>
      <c r="Y4" s="28"/>
      <c r="Z4" s="29"/>
      <c r="AA4" s="28"/>
      <c r="AB4" s="28"/>
      <c r="AC4" s="28"/>
      <c r="AD4" s="28"/>
      <c r="AE4" s="28"/>
      <c r="AF4" s="28"/>
      <c r="AG4" s="28"/>
      <c r="AH4" s="28"/>
      <c r="AI4" s="28"/>
      <c r="AJ4" s="30"/>
    </row>
    <row r="5" spans="1:36" x14ac:dyDescent="0.3">
      <c r="A5" s="85"/>
      <c r="B5" s="85"/>
      <c r="C5" s="85"/>
      <c r="D5" s="86"/>
      <c r="E5" s="39" t="s">
        <v>18</v>
      </c>
      <c r="F5" s="40">
        <v>0.01</v>
      </c>
      <c r="G5" s="40">
        <v>0.01</v>
      </c>
      <c r="H5" s="40">
        <v>0.01</v>
      </c>
      <c r="I5" s="41">
        <v>1E-3</v>
      </c>
      <c r="J5" s="40">
        <v>0.05</v>
      </c>
      <c r="K5" s="42">
        <v>0.3</v>
      </c>
      <c r="L5" s="42">
        <v>0.3</v>
      </c>
      <c r="M5" s="43">
        <v>1</v>
      </c>
      <c r="N5" s="41">
        <v>5.0000000000000001E-3</v>
      </c>
      <c r="O5" s="42">
        <v>0.2</v>
      </c>
      <c r="P5" s="43">
        <v>1</v>
      </c>
      <c r="Q5" s="43">
        <v>3</v>
      </c>
      <c r="R5" s="40">
        <v>0.03</v>
      </c>
      <c r="S5" s="41" t="s">
        <v>33</v>
      </c>
      <c r="T5" s="41" t="s">
        <v>35</v>
      </c>
      <c r="U5" s="44"/>
      <c r="V5" s="28"/>
      <c r="W5" s="28"/>
      <c r="X5" s="28"/>
      <c r="Y5" s="28"/>
      <c r="Z5" s="29"/>
      <c r="AA5" s="28"/>
      <c r="AB5" s="28"/>
      <c r="AC5" s="28"/>
      <c r="AD5" s="28"/>
      <c r="AE5" s="28"/>
      <c r="AF5" s="28"/>
      <c r="AG5" s="28"/>
      <c r="AH5" s="28"/>
      <c r="AI5" s="28"/>
      <c r="AJ5" s="30"/>
    </row>
    <row r="6" spans="1:36" ht="10.5" customHeight="1" x14ac:dyDescent="0.3">
      <c r="A6" s="87"/>
      <c r="B6" s="87"/>
      <c r="C6" s="87"/>
      <c r="D6" s="86"/>
      <c r="E6" s="45" t="s">
        <v>19</v>
      </c>
      <c r="F6" s="46"/>
      <c r="G6" s="47">
        <v>0.05</v>
      </c>
      <c r="H6" s="47">
        <v>0.05</v>
      </c>
      <c r="I6" s="46"/>
      <c r="J6" s="46"/>
      <c r="K6" s="46"/>
      <c r="L6" s="46" t="s">
        <v>20</v>
      </c>
      <c r="M6" s="46"/>
      <c r="N6" s="46"/>
      <c r="O6" s="46"/>
      <c r="P6" s="46"/>
      <c r="Q6" s="46"/>
      <c r="R6" s="46"/>
      <c r="S6" s="46"/>
      <c r="T6" s="46"/>
      <c r="U6" s="44"/>
      <c r="V6" s="28"/>
      <c r="W6" s="28"/>
      <c r="X6" s="28"/>
      <c r="Y6" s="28"/>
      <c r="Z6" s="29"/>
      <c r="AA6" s="28"/>
      <c r="AB6" s="28"/>
      <c r="AC6" s="28"/>
      <c r="AD6" s="28"/>
      <c r="AE6" s="28"/>
      <c r="AF6" s="28"/>
      <c r="AG6" s="28"/>
      <c r="AH6" s="28"/>
      <c r="AI6" s="28"/>
      <c r="AJ6" s="30"/>
    </row>
    <row r="7" spans="1:36" s="59" customFormat="1" ht="15" customHeight="1" x14ac:dyDescent="0.3">
      <c r="A7" s="51" t="s">
        <v>21</v>
      </c>
      <c r="B7" s="52" t="s">
        <v>22</v>
      </c>
      <c r="C7" s="52" t="s">
        <v>23</v>
      </c>
      <c r="D7" s="52" t="s">
        <v>24</v>
      </c>
      <c r="E7" s="52" t="s">
        <v>25</v>
      </c>
      <c r="F7" s="54" t="s">
        <v>0</v>
      </c>
      <c r="G7" s="54" t="s">
        <v>1</v>
      </c>
      <c r="H7" s="54" t="s">
        <v>2</v>
      </c>
      <c r="I7" s="54" t="s">
        <v>26</v>
      </c>
      <c r="J7" s="54" t="s">
        <v>4</v>
      </c>
      <c r="K7" s="54" t="s">
        <v>5</v>
      </c>
      <c r="L7" s="54" t="s">
        <v>6</v>
      </c>
      <c r="M7" s="54" t="s">
        <v>7</v>
      </c>
      <c r="N7" s="54" t="s">
        <v>8</v>
      </c>
      <c r="O7" s="54" t="s">
        <v>9</v>
      </c>
      <c r="P7" s="54" t="s">
        <v>10</v>
      </c>
      <c r="Q7" s="54" t="s">
        <v>11</v>
      </c>
      <c r="R7" s="54" t="s">
        <v>12</v>
      </c>
      <c r="S7" s="54" t="s">
        <v>30</v>
      </c>
      <c r="T7" s="54" t="s">
        <v>31</v>
      </c>
      <c r="U7" s="55"/>
      <c r="V7" s="56" t="s">
        <v>0</v>
      </c>
      <c r="W7" s="57" t="s">
        <v>1</v>
      </c>
      <c r="X7" s="57" t="s">
        <v>2</v>
      </c>
      <c r="Y7" s="57" t="s">
        <v>26</v>
      </c>
      <c r="Z7" s="57" t="s">
        <v>4</v>
      </c>
      <c r="AA7" s="58" t="s">
        <v>5</v>
      </c>
      <c r="AB7" s="57" t="s">
        <v>6</v>
      </c>
      <c r="AC7" s="57" t="s">
        <v>7</v>
      </c>
      <c r="AD7" s="57" t="s">
        <v>8</v>
      </c>
      <c r="AE7" s="57" t="s">
        <v>9</v>
      </c>
      <c r="AF7" s="57" t="s">
        <v>10</v>
      </c>
      <c r="AG7" s="57" t="s">
        <v>11</v>
      </c>
      <c r="AH7" s="57" t="s">
        <v>12</v>
      </c>
      <c r="AI7" s="57" t="s">
        <v>13</v>
      </c>
      <c r="AJ7" s="57" t="s">
        <v>14</v>
      </c>
    </row>
    <row r="8" spans="1:36" s="75" customFormat="1" ht="15" customHeight="1" x14ac:dyDescent="0.3">
      <c r="A8" s="70">
        <v>0</v>
      </c>
      <c r="B8" s="74" t="s">
        <v>36</v>
      </c>
      <c r="C8" s="74"/>
      <c r="D8" s="74"/>
      <c r="E8" s="74"/>
      <c r="F8" s="76">
        <v>7.3473031832871794E-2</v>
      </c>
      <c r="G8" s="76">
        <v>7.9330549845070902E-2</v>
      </c>
      <c r="H8" s="76">
        <v>7.9810067033891596E-2</v>
      </c>
      <c r="I8" s="76">
        <v>2.0003939075319199E-3</v>
      </c>
      <c r="J8" s="76">
        <v>7.7175203361403696E-2</v>
      </c>
      <c r="K8" s="76">
        <v>7.6566729686005697E-2</v>
      </c>
      <c r="L8" s="76">
        <v>7.7384808487467205E-2</v>
      </c>
      <c r="M8" s="76">
        <v>7.6855148132202206E-2</v>
      </c>
      <c r="N8" s="76">
        <v>7.6797595096535207E-2</v>
      </c>
      <c r="O8" s="76">
        <v>8.0184344734041693E-2</v>
      </c>
      <c r="P8" s="76">
        <v>7.7553163564679603E-2</v>
      </c>
      <c r="Q8" s="76">
        <v>7.5861502643806797E-2</v>
      </c>
      <c r="R8" s="76">
        <v>7.9119459856407795E-2</v>
      </c>
      <c r="S8" s="76">
        <v>7.6147773225519799E-2</v>
      </c>
      <c r="T8" s="76">
        <v>7.9254185617785605E-2</v>
      </c>
      <c r="U8" s="71"/>
      <c r="V8" s="72">
        <f>F8</f>
        <v>7.3473031832871794E-2</v>
      </c>
      <c r="W8" s="72">
        <f t="shared" ref="W8:AI8" si="0">G8</f>
        <v>7.9330549845070902E-2</v>
      </c>
      <c r="X8" s="72">
        <f t="shared" si="0"/>
        <v>7.9810067033891596E-2</v>
      </c>
      <c r="Y8" s="72">
        <f t="shared" si="0"/>
        <v>2.0003939075319199E-3</v>
      </c>
      <c r="Z8" s="72">
        <f t="shared" si="0"/>
        <v>7.7175203361403696E-2</v>
      </c>
      <c r="AA8" s="72">
        <f t="shared" si="0"/>
        <v>7.6566729686005697E-2</v>
      </c>
      <c r="AB8" s="72">
        <f t="shared" si="0"/>
        <v>7.7384808487467205E-2</v>
      </c>
      <c r="AC8" s="72">
        <f t="shared" si="0"/>
        <v>7.6855148132202206E-2</v>
      </c>
      <c r="AD8" s="72">
        <f t="shared" si="0"/>
        <v>7.6797595096535207E-2</v>
      </c>
      <c r="AE8" s="72">
        <f t="shared" si="0"/>
        <v>8.0184344734041693E-2</v>
      </c>
      <c r="AF8" s="72">
        <f t="shared" si="0"/>
        <v>7.7553163564679603E-2</v>
      </c>
      <c r="AG8" s="72">
        <f t="shared" si="0"/>
        <v>7.5861502643806797E-2</v>
      </c>
      <c r="AH8" s="72">
        <f t="shared" si="0"/>
        <v>7.9119459856407795E-2</v>
      </c>
      <c r="AI8" s="72">
        <f t="shared" si="0"/>
        <v>7.6147773225519799E-2</v>
      </c>
      <c r="AJ8" s="72">
        <f>T8</f>
        <v>7.9254185617785605E-2</v>
      </c>
    </row>
    <row r="9" spans="1:36" s="75" customFormat="1" ht="15" customHeight="1" x14ac:dyDescent="0.3">
      <c r="A9" s="70">
        <v>1</v>
      </c>
      <c r="B9" s="74" t="s">
        <v>40</v>
      </c>
      <c r="C9" s="74" t="s">
        <v>41</v>
      </c>
      <c r="D9" s="74" t="s">
        <v>115</v>
      </c>
      <c r="E9" s="74" t="s">
        <v>116</v>
      </c>
      <c r="F9" s="79">
        <v>2.49524981224772E-4</v>
      </c>
      <c r="G9" s="79">
        <v>1.7074386518388401E-4</v>
      </c>
      <c r="H9" s="79">
        <v>2.2251817632337601E-4</v>
      </c>
      <c r="I9" s="79">
        <v>7.0958459598585705E-5</v>
      </c>
      <c r="J9" s="79">
        <v>6.21983442894887E-5</v>
      </c>
      <c r="K9" s="79">
        <v>-2.0486712851918099E-2</v>
      </c>
      <c r="L9" s="79">
        <v>4.9868551403440998E-5</v>
      </c>
      <c r="M9" s="79">
        <v>4.5552845416102902E-3</v>
      </c>
      <c r="N9" s="79">
        <v>2.45816908403419E-5</v>
      </c>
      <c r="O9" s="79">
        <v>4.4630523202923901E-4</v>
      </c>
      <c r="P9" s="79">
        <v>5.9506855262947897E-3</v>
      </c>
      <c r="Q9" s="79">
        <v>6.9081818744795498E-3</v>
      </c>
      <c r="R9" s="80">
        <v>7.7788205377465107E-6</v>
      </c>
      <c r="S9" s="80">
        <v>2.3517043134931999E-4</v>
      </c>
      <c r="T9" s="80">
        <v>8.0682596597736001E-5</v>
      </c>
      <c r="U9" s="71"/>
      <c r="V9" s="72" t="str">
        <f>IF(IF(TRUNC(F9,F$2+1)&lt;0,0,TRUNC(F9,F$2+1))&lt;F$4,"불검출",IF(TRUNC(F9,F$2+1)&lt;0,0,TRUNC(F9,F$2+1)))</f>
        <v>불검출</v>
      </c>
      <c r="W9" s="78" t="str">
        <f>IF(IF(TRUNC(G9,G$2+1)&lt;0,0,TRUNC(G9,G$2+1))&lt;G$4,"불검출",IF(TRUNC(G9,G$2+1)&lt;0,0,TRUNC(G9,G$2+1)))</f>
        <v>불검출</v>
      </c>
      <c r="X9" s="78" t="str">
        <f t="shared" ref="X9:AI9" si="1">IF(IF(TRUNC(H9,H$2+1)&lt;0,0,TRUNC(H9,H$2+1))&lt;H$4,"불검출",IF(TRUNC(H9,H$2+1)&lt;0,0,TRUNC(H9,H$2+1)))</f>
        <v>불검출</v>
      </c>
      <c r="Y9" s="78" t="str">
        <f t="shared" si="1"/>
        <v>불검출</v>
      </c>
      <c r="Z9" s="78" t="str">
        <f t="shared" si="1"/>
        <v>불검출</v>
      </c>
      <c r="AA9" s="78" t="str">
        <f t="shared" si="1"/>
        <v>불검출</v>
      </c>
      <c r="AB9" s="78" t="str">
        <f t="shared" si="1"/>
        <v>불검출</v>
      </c>
      <c r="AC9" s="78">
        <f t="shared" si="1"/>
        <v>4.4999999999999997E-3</v>
      </c>
      <c r="AD9" s="78" t="str">
        <f t="shared" si="1"/>
        <v>불검출</v>
      </c>
      <c r="AE9" s="81" t="str">
        <f>IF(IF(TRUNC(O9,O$2+1)&lt;0,0,TRUNC(O9,O$2+1))&lt;O$4,"불검출",IF(TRUNC(O9,O$2+1)&lt;0,0,TRUNC(O9,O$2+1)))</f>
        <v>불검출</v>
      </c>
      <c r="AF9" s="78" t="str">
        <f t="shared" si="1"/>
        <v>불검출</v>
      </c>
      <c r="AG9" s="78">
        <f>IF(IF(TRUNC(Q9,Q$2+1)&lt;0,0,TRUNC(Q9,Q$2+1))&lt;Q$4,"불검출",IF(TRUNC(Q9,Q$2+1)&lt;0,0,TRUNC(Q9,Q$2+1)))</f>
        <v>6.8999999999999999E-3</v>
      </c>
      <c r="AH9" s="78" t="str">
        <f t="shared" si="1"/>
        <v>불검출</v>
      </c>
      <c r="AI9" s="78" t="str">
        <f t="shared" si="1"/>
        <v>불검출</v>
      </c>
      <c r="AJ9" s="73">
        <f>IF(IF(TRUNC(T9,T$2)&lt;0,0,TRUNC(T9,T$2))&lt;T$4,"불검출",IF(TRUNC(T9,T$2)&lt;0,0,TRUNC(T9,T$2)))</f>
        <v>8.0000000000000007E-5</v>
      </c>
    </row>
    <row r="10" spans="1:36" s="75" customFormat="1" ht="15" customHeight="1" x14ac:dyDescent="0.3">
      <c r="A10" s="70">
        <v>2</v>
      </c>
      <c r="B10" s="74" t="s">
        <v>42</v>
      </c>
      <c r="C10" s="74" t="s">
        <v>43</v>
      </c>
      <c r="D10" s="74" t="s">
        <v>117</v>
      </c>
      <c r="E10" s="74" t="s">
        <v>118</v>
      </c>
      <c r="F10" s="79">
        <v>2.5282039864553098E-4</v>
      </c>
      <c r="G10" s="79">
        <v>2.8288114509582399E-4</v>
      </c>
      <c r="H10" s="79">
        <v>4.5176172985951599E-4</v>
      </c>
      <c r="I10" s="79">
        <v>1.3379625609174E-5</v>
      </c>
      <c r="J10" s="79">
        <v>1.6194381499608901E-4</v>
      </c>
      <c r="K10" s="79">
        <v>-1.8206070589025E-2</v>
      </c>
      <c r="L10" s="79">
        <v>8.4127293483834303E-4</v>
      </c>
      <c r="M10" s="79">
        <v>2.0752492732058802E-3</v>
      </c>
      <c r="N10" s="79">
        <v>9.3509809378490003E-6</v>
      </c>
      <c r="O10" s="79">
        <v>5.4439459601726302E-3</v>
      </c>
      <c r="P10" s="79">
        <v>1.1706263564426E-2</v>
      </c>
      <c r="Q10" s="79">
        <v>3.9120323941276999E-2</v>
      </c>
      <c r="R10" s="80">
        <v>9.9349475445585205E-5</v>
      </c>
      <c r="S10" s="80">
        <v>1.7173221890058799E-4</v>
      </c>
      <c r="T10" s="80">
        <v>3.2526216300180302E-5</v>
      </c>
      <c r="U10" s="71"/>
      <c r="V10" s="72" t="str">
        <f t="shared" ref="V10:V47" si="2">IF(IF(TRUNC(F10,F$2+1)&lt;0,0,TRUNC(F10,F$2+1))&lt;F$4,"불검출",IF(TRUNC(F10,F$2+1)&lt;0,0,TRUNC(F10,F$2+1)))</f>
        <v>불검출</v>
      </c>
      <c r="W10" s="78" t="str">
        <f t="shared" ref="W10:W47" si="3">IF(IF(TRUNC(G10,G$2+1)&lt;0,0,TRUNC(G10,G$2+1))&lt;G$4,"불검출",IF(TRUNC(G10,G$2+1)&lt;0,0,TRUNC(G10,G$2+1)))</f>
        <v>불검출</v>
      </c>
      <c r="X10" s="78" t="str">
        <f t="shared" ref="X10:X47" si="4">IF(IF(TRUNC(H10,H$2+1)&lt;0,0,TRUNC(H10,H$2+1))&lt;H$4,"불검출",IF(TRUNC(H10,H$2+1)&lt;0,0,TRUNC(H10,H$2+1)))</f>
        <v>불검출</v>
      </c>
      <c r="Y10" s="78" t="str">
        <f t="shared" ref="Y10:Y47" si="5">IF(IF(TRUNC(I10,I$2+1)&lt;0,0,TRUNC(I10,I$2+1))&lt;I$4,"불검출",IF(TRUNC(I10,I$2+1)&lt;0,0,TRUNC(I10,I$2+1)))</f>
        <v>불검출</v>
      </c>
      <c r="Z10" s="78" t="str">
        <f t="shared" ref="Z10:Z47" si="6">IF(IF(TRUNC(J10,J$2+1)&lt;0,0,TRUNC(J10,J$2+1))&lt;J$4,"불검출",IF(TRUNC(J10,J$2+1)&lt;0,0,TRUNC(J10,J$2+1)))</f>
        <v>불검출</v>
      </c>
      <c r="AA10" s="78" t="str">
        <f t="shared" ref="AA10:AA47" si="7">IF(IF(TRUNC(K10,K$2+1)&lt;0,0,TRUNC(K10,K$2+1))&lt;K$4,"불검출",IF(TRUNC(K10,K$2+1)&lt;0,0,TRUNC(K10,K$2+1)))</f>
        <v>불검출</v>
      </c>
      <c r="AB10" s="78" t="str">
        <f t="shared" ref="AB10:AB47" si="8">IF(IF(TRUNC(L10,L$2+1)&lt;0,0,TRUNC(L10,L$2+1))&lt;L$4,"불검출",IF(TRUNC(L10,L$2+1)&lt;0,0,TRUNC(L10,L$2+1)))</f>
        <v>불검출</v>
      </c>
      <c r="AC10" s="78" t="str">
        <f t="shared" ref="AC10:AC47" si="9">IF(IF(TRUNC(M10,M$2+1)&lt;0,0,TRUNC(M10,M$2+1))&lt;M$4,"불검출",IF(TRUNC(M10,M$2+1)&lt;0,0,TRUNC(M10,M$2+1)))</f>
        <v>불검출</v>
      </c>
      <c r="AD10" s="78" t="str">
        <f t="shared" ref="AD10:AD47" si="10">IF(IF(TRUNC(N10,N$2+1)&lt;0,0,TRUNC(N10,N$2+1))&lt;N$4,"불검출",IF(TRUNC(N10,N$2+1)&lt;0,0,TRUNC(N10,N$2+1)))</f>
        <v>불검출</v>
      </c>
      <c r="AE10" s="81" t="str">
        <f t="shared" ref="AE10:AE47" si="11">IF(IF(TRUNC(O10,O$2+1)&lt;0,0,TRUNC(O10,O$2+1))&lt;O$4,"불검출",IF(TRUNC(O10,O$2+1)&lt;0,0,TRUNC(O10,O$2+1)))</f>
        <v>불검출</v>
      </c>
      <c r="AF10" s="78">
        <f t="shared" ref="AF10:AF47" si="12">IF(IF(TRUNC(P10,P$2+1)&lt;0,0,TRUNC(P10,P$2+1))&lt;P$4,"불검출",IF(TRUNC(P10,P$2+1)&lt;0,0,TRUNC(P10,P$2+1)))</f>
        <v>1.0999999999999999E-2</v>
      </c>
      <c r="AG10" s="78">
        <f t="shared" ref="AG10:AG47" si="13">IF(IF(TRUNC(Q10,Q$2+1)&lt;0,0,TRUNC(Q10,Q$2+1))&lt;Q$4,"불검출",IF(TRUNC(Q10,Q$2+1)&lt;0,0,TRUNC(Q10,Q$2+1)))</f>
        <v>3.9100000000000003E-2</v>
      </c>
      <c r="AH10" s="78" t="str">
        <f t="shared" ref="AH10:AH47" si="14">IF(IF(TRUNC(R10,R$2+1)&lt;0,0,TRUNC(R10,R$2+1))&lt;R$4,"불검출",IF(TRUNC(R10,R$2+1)&lt;0,0,TRUNC(R10,R$2+1)))</f>
        <v>불검출</v>
      </c>
      <c r="AI10" s="78" t="str">
        <f t="shared" ref="AI10:AI47" si="15">IF(IF(TRUNC(S10,S$2+1)&lt;0,0,TRUNC(S10,S$2+1))&lt;S$4,"불검출",IF(TRUNC(S10,S$2+1)&lt;0,0,TRUNC(S10,S$2+1)))</f>
        <v>불검출</v>
      </c>
      <c r="AJ10" s="73" t="str">
        <f t="shared" ref="AJ10:AJ47" si="16">IF(IF(TRUNC(T10,T$2)&lt;0,0,TRUNC(T10,T$2))&lt;T$4,"불검출",IF(TRUNC(T10,T$2)&lt;0,0,TRUNC(T10,T$2)))</f>
        <v>불검출</v>
      </c>
    </row>
    <row r="11" spans="1:36" s="75" customFormat="1" ht="15" customHeight="1" x14ac:dyDescent="0.3">
      <c r="A11" s="70">
        <v>3</v>
      </c>
      <c r="B11" s="74" t="s">
        <v>44</v>
      </c>
      <c r="C11" s="74" t="s">
        <v>43</v>
      </c>
      <c r="D11" s="74" t="s">
        <v>119</v>
      </c>
      <c r="E11" s="74" t="s">
        <v>118</v>
      </c>
      <c r="F11" s="79">
        <v>1.4294193551296799E-3</v>
      </c>
      <c r="G11" s="79">
        <v>2.5006208027104399E-4</v>
      </c>
      <c r="H11" s="79">
        <v>3.87062517433287E-4</v>
      </c>
      <c r="I11" s="79">
        <v>7.2093989915798298E-6</v>
      </c>
      <c r="J11" s="79">
        <v>1.6470583598931999E-4</v>
      </c>
      <c r="K11" s="79">
        <v>-3.7065859510558999E-3</v>
      </c>
      <c r="L11" s="79">
        <v>1.0758031690983501E-3</v>
      </c>
      <c r="M11" s="79">
        <v>8.5493266736230995E-3</v>
      </c>
      <c r="N11" s="79">
        <v>2.4012585194664499E-5</v>
      </c>
      <c r="O11" s="79">
        <v>1.46713063366582E-2</v>
      </c>
      <c r="P11" s="79">
        <v>1.23722559237524E-2</v>
      </c>
      <c r="Q11" s="79">
        <v>0.15667194467274501</v>
      </c>
      <c r="R11" s="80">
        <v>1.15546143858386E-4</v>
      </c>
      <c r="S11" s="80">
        <v>1.70169022046866E-4</v>
      </c>
      <c r="T11" s="80">
        <v>3.4977288786733697E-5</v>
      </c>
      <c r="U11" s="71"/>
      <c r="V11" s="72" t="str">
        <f t="shared" si="2"/>
        <v>불검출</v>
      </c>
      <c r="W11" s="78" t="str">
        <f t="shared" si="3"/>
        <v>불검출</v>
      </c>
      <c r="X11" s="78" t="str">
        <f t="shared" si="4"/>
        <v>불검출</v>
      </c>
      <c r="Y11" s="78" t="str">
        <f t="shared" si="5"/>
        <v>불검출</v>
      </c>
      <c r="Z11" s="78" t="str">
        <f t="shared" si="6"/>
        <v>불검출</v>
      </c>
      <c r="AA11" s="78" t="str">
        <f t="shared" si="7"/>
        <v>불검출</v>
      </c>
      <c r="AB11" s="78" t="str">
        <f t="shared" si="8"/>
        <v>불검출</v>
      </c>
      <c r="AC11" s="78">
        <f t="shared" si="9"/>
        <v>8.5000000000000006E-3</v>
      </c>
      <c r="AD11" s="78" t="str">
        <f t="shared" si="10"/>
        <v>불검출</v>
      </c>
      <c r="AE11" s="81" t="str">
        <f t="shared" si="11"/>
        <v>불검출</v>
      </c>
      <c r="AF11" s="78">
        <f t="shared" si="12"/>
        <v>1.2E-2</v>
      </c>
      <c r="AG11" s="78">
        <f t="shared" si="13"/>
        <v>0.15659999999999999</v>
      </c>
      <c r="AH11" s="78">
        <f t="shared" si="14"/>
        <v>1.1E-4</v>
      </c>
      <c r="AI11" s="78" t="str">
        <f t="shared" si="15"/>
        <v>불검출</v>
      </c>
      <c r="AJ11" s="73" t="str">
        <f t="shared" si="16"/>
        <v>불검출</v>
      </c>
    </row>
    <row r="12" spans="1:36" s="75" customFormat="1" ht="15" customHeight="1" x14ac:dyDescent="0.3">
      <c r="A12" s="70">
        <v>4</v>
      </c>
      <c r="B12" s="74" t="s">
        <v>38</v>
      </c>
      <c r="C12" s="74"/>
      <c r="D12" s="74"/>
      <c r="E12" s="74"/>
      <c r="F12" s="79">
        <v>3.4828442597906397E-5</v>
      </c>
      <c r="G12" s="79">
        <v>-4.9442660556899501E-5</v>
      </c>
      <c r="H12" s="79">
        <v>-1.7656076718235099E-5</v>
      </c>
      <c r="I12" s="79">
        <v>-3.5722206087423602E-7</v>
      </c>
      <c r="J12" s="79">
        <v>-8.6415755490760404E-6</v>
      </c>
      <c r="K12" s="79">
        <v>-8.1785746546506801E-3</v>
      </c>
      <c r="L12" s="79">
        <v>-4.2848125416054197E-5</v>
      </c>
      <c r="M12" s="79">
        <v>2.39985416365752E-4</v>
      </c>
      <c r="N12" s="79">
        <v>2.1531464494012899E-7</v>
      </c>
      <c r="O12" s="79">
        <v>-6.5299649900533898E-4</v>
      </c>
      <c r="P12" s="79">
        <v>-2.7595304503099799E-3</v>
      </c>
      <c r="Q12" s="79">
        <v>-1.4782653548238501E-3</v>
      </c>
      <c r="R12" s="80">
        <v>-2.48460887891412E-7</v>
      </c>
      <c r="S12" s="80">
        <v>3.1630489676861101E-6</v>
      </c>
      <c r="T12" s="80">
        <v>-6.1554289061613496E-6</v>
      </c>
      <c r="U12" s="71"/>
      <c r="V12" s="72" t="str">
        <f t="shared" si="2"/>
        <v>불검출</v>
      </c>
      <c r="W12" s="78" t="str">
        <f t="shared" si="3"/>
        <v>불검출</v>
      </c>
      <c r="X12" s="78" t="str">
        <f t="shared" si="4"/>
        <v>불검출</v>
      </c>
      <c r="Y12" s="78" t="str">
        <f t="shared" si="5"/>
        <v>불검출</v>
      </c>
      <c r="Z12" s="78" t="str">
        <f t="shared" si="6"/>
        <v>불검출</v>
      </c>
      <c r="AA12" s="78" t="str">
        <f t="shared" si="7"/>
        <v>불검출</v>
      </c>
      <c r="AB12" s="78" t="str">
        <f t="shared" si="8"/>
        <v>불검출</v>
      </c>
      <c r="AC12" s="78" t="str">
        <f t="shared" si="9"/>
        <v>불검출</v>
      </c>
      <c r="AD12" s="78" t="str">
        <f t="shared" si="10"/>
        <v>불검출</v>
      </c>
      <c r="AE12" s="81" t="str">
        <f t="shared" si="11"/>
        <v>불검출</v>
      </c>
      <c r="AF12" s="78" t="str">
        <f t="shared" si="12"/>
        <v>불검출</v>
      </c>
      <c r="AG12" s="78" t="str">
        <f t="shared" si="13"/>
        <v>불검출</v>
      </c>
      <c r="AH12" s="78" t="str">
        <f t="shared" si="14"/>
        <v>불검출</v>
      </c>
      <c r="AI12" s="78" t="str">
        <f t="shared" si="15"/>
        <v>불검출</v>
      </c>
      <c r="AJ12" s="73" t="str">
        <f t="shared" si="16"/>
        <v>불검출</v>
      </c>
    </row>
    <row r="13" spans="1:36" s="75" customFormat="1" ht="15" customHeight="1" x14ac:dyDescent="0.3">
      <c r="A13" s="70">
        <v>5</v>
      </c>
      <c r="B13" s="74" t="s">
        <v>45</v>
      </c>
      <c r="C13" s="74" t="s">
        <v>46</v>
      </c>
      <c r="D13" s="74" t="s">
        <v>39</v>
      </c>
      <c r="E13" s="74" t="s">
        <v>118</v>
      </c>
      <c r="F13" s="79">
        <v>7.2898121851078495E-4</v>
      </c>
      <c r="G13" s="80">
        <v>2.9981148763725201E-4</v>
      </c>
      <c r="H13" s="80">
        <v>2.1438548513254301E-4</v>
      </c>
      <c r="I13" s="80">
        <v>1.49708972824301E-5</v>
      </c>
      <c r="J13" s="80">
        <v>6.4832818240611096E-5</v>
      </c>
      <c r="K13" s="79">
        <v>-4.9948302978938498E-3</v>
      </c>
      <c r="L13" s="80">
        <v>1.9311922773141701E-3</v>
      </c>
      <c r="M13" s="79">
        <v>3.5882342856974202E-3</v>
      </c>
      <c r="N13" s="80">
        <v>5.9673615208652501E-6</v>
      </c>
      <c r="O13" s="80">
        <v>5.1960012003504502E-2</v>
      </c>
      <c r="P13" s="80">
        <v>1.02503917243027E-2</v>
      </c>
      <c r="Q13" s="79">
        <v>1.6512835762486999E-3</v>
      </c>
      <c r="R13" s="80">
        <v>1.0572315572479E-4</v>
      </c>
      <c r="S13" s="80">
        <v>8.0180979480442801E-4</v>
      </c>
      <c r="T13" s="80">
        <v>1.18851341698191E-4</v>
      </c>
      <c r="U13" s="71"/>
      <c r="V13" s="72" t="str">
        <f t="shared" si="2"/>
        <v>불검출</v>
      </c>
      <c r="W13" s="78" t="str">
        <f t="shared" si="3"/>
        <v>불검출</v>
      </c>
      <c r="X13" s="78" t="str">
        <f t="shared" si="4"/>
        <v>불검출</v>
      </c>
      <c r="Y13" s="78" t="str">
        <f t="shared" si="5"/>
        <v>불검출</v>
      </c>
      <c r="Z13" s="78" t="str">
        <f t="shared" si="6"/>
        <v>불검출</v>
      </c>
      <c r="AA13" s="78" t="str">
        <f t="shared" si="7"/>
        <v>불검출</v>
      </c>
      <c r="AB13" s="78" t="str">
        <f t="shared" si="8"/>
        <v>불검출</v>
      </c>
      <c r="AC13" s="78" t="str">
        <f t="shared" si="9"/>
        <v>불검출</v>
      </c>
      <c r="AD13" s="78" t="str">
        <f t="shared" si="10"/>
        <v>불검출</v>
      </c>
      <c r="AE13" s="81">
        <f t="shared" si="11"/>
        <v>5.0999999999999997E-2</v>
      </c>
      <c r="AF13" s="78">
        <f t="shared" si="12"/>
        <v>0.01</v>
      </c>
      <c r="AG13" s="78" t="str">
        <f t="shared" si="13"/>
        <v>불검출</v>
      </c>
      <c r="AH13" s="78">
        <f t="shared" si="14"/>
        <v>1E-4</v>
      </c>
      <c r="AI13" s="78">
        <f t="shared" si="15"/>
        <v>8.0000000000000004E-4</v>
      </c>
      <c r="AJ13" s="73">
        <f t="shared" si="16"/>
        <v>1.1E-4</v>
      </c>
    </row>
    <row r="14" spans="1:36" s="75" customFormat="1" ht="15" customHeight="1" x14ac:dyDescent="0.3">
      <c r="A14" s="70">
        <v>6</v>
      </c>
      <c r="B14" s="74" t="s">
        <v>47</v>
      </c>
      <c r="C14" s="74" t="s">
        <v>48</v>
      </c>
      <c r="D14" s="74" t="s">
        <v>37</v>
      </c>
      <c r="E14" s="74" t="s">
        <v>120</v>
      </c>
      <c r="F14" s="79">
        <v>4.5665474516935203E-5</v>
      </c>
      <c r="G14" s="79">
        <v>1.5884646616097099E-4</v>
      </c>
      <c r="H14" s="79">
        <v>1.05719351643924E-4</v>
      </c>
      <c r="I14" s="79">
        <v>1.52631205932538E-6</v>
      </c>
      <c r="J14" s="79">
        <v>3.4110588540639898E-6</v>
      </c>
      <c r="K14" s="79">
        <v>-5.9989580357026704E-3</v>
      </c>
      <c r="L14" s="79">
        <v>5.3708101630428797E-3</v>
      </c>
      <c r="M14" s="79">
        <v>4.9650432124968401E-4</v>
      </c>
      <c r="N14" s="79">
        <v>1.07698077599436E-5</v>
      </c>
      <c r="O14" s="79">
        <v>-5.9037025745043695E-4</v>
      </c>
      <c r="P14" s="79">
        <v>2.78107395922088E-3</v>
      </c>
      <c r="Q14" s="79">
        <v>2.96682398166793E-3</v>
      </c>
      <c r="R14" s="79">
        <v>1.94851124747866E-3</v>
      </c>
      <c r="S14" s="79">
        <v>3.57182632223627E-3</v>
      </c>
      <c r="T14" s="79">
        <v>3.6646634493130999E-4</v>
      </c>
      <c r="U14" s="71"/>
      <c r="V14" s="72" t="str">
        <f t="shared" si="2"/>
        <v>불검출</v>
      </c>
      <c r="W14" s="78" t="str">
        <f t="shared" si="3"/>
        <v>불검출</v>
      </c>
      <c r="X14" s="78" t="str">
        <f t="shared" si="4"/>
        <v>불검출</v>
      </c>
      <c r="Y14" s="78" t="str">
        <f t="shared" si="5"/>
        <v>불검출</v>
      </c>
      <c r="Z14" s="78" t="str">
        <f t="shared" si="6"/>
        <v>불검출</v>
      </c>
      <c r="AA14" s="78" t="str">
        <f t="shared" si="7"/>
        <v>불검출</v>
      </c>
      <c r="AB14" s="78">
        <f t="shared" si="8"/>
        <v>5.3E-3</v>
      </c>
      <c r="AC14" s="78" t="str">
        <f t="shared" si="9"/>
        <v>불검출</v>
      </c>
      <c r="AD14" s="78" t="str">
        <f t="shared" si="10"/>
        <v>불검출</v>
      </c>
      <c r="AE14" s="81" t="str">
        <f t="shared" si="11"/>
        <v>불검출</v>
      </c>
      <c r="AF14" s="78" t="str">
        <f t="shared" si="12"/>
        <v>불검출</v>
      </c>
      <c r="AG14" s="78">
        <f t="shared" si="13"/>
        <v>2.8999999999999998E-3</v>
      </c>
      <c r="AH14" s="78">
        <f t="shared" si="14"/>
        <v>1.9400000000000001E-3</v>
      </c>
      <c r="AI14" s="78">
        <f t="shared" si="15"/>
        <v>3.5699999999999998E-3</v>
      </c>
      <c r="AJ14" s="73">
        <f t="shared" si="16"/>
        <v>3.6000000000000002E-4</v>
      </c>
    </row>
    <row r="15" spans="1:36" s="75" customFormat="1" ht="15" customHeight="1" x14ac:dyDescent="0.3">
      <c r="A15" s="70">
        <v>7</v>
      </c>
      <c r="B15" s="74" t="s">
        <v>49</v>
      </c>
      <c r="C15" s="74" t="s">
        <v>50</v>
      </c>
      <c r="D15" s="74" t="s">
        <v>37</v>
      </c>
      <c r="E15" s="74" t="s">
        <v>120</v>
      </c>
      <c r="F15" s="79">
        <v>2.16814991041E-5</v>
      </c>
      <c r="G15" s="79">
        <v>1.19705475885442E-3</v>
      </c>
      <c r="H15" s="79">
        <v>2.4084184140821001E-5</v>
      </c>
      <c r="I15" s="79">
        <v>4.7413136563627904E-6</v>
      </c>
      <c r="J15" s="79">
        <v>1.22481014609163E-4</v>
      </c>
      <c r="K15" s="79">
        <v>-5.8870246788836596E-3</v>
      </c>
      <c r="L15" s="79">
        <v>2.0414841423571499E-5</v>
      </c>
      <c r="M15" s="79">
        <v>3.3457660899675998E-4</v>
      </c>
      <c r="N15" s="79">
        <v>2.0794110007059801E-5</v>
      </c>
      <c r="O15" s="79">
        <v>4.1595107362152703E-2</v>
      </c>
      <c r="P15" s="79">
        <v>4.09984772665563E-3</v>
      </c>
      <c r="Q15" s="79">
        <v>2.4266495279720601E-3</v>
      </c>
      <c r="R15" s="79">
        <v>3.3818184671126099E-3</v>
      </c>
      <c r="S15" s="79">
        <v>8.1274779841207304E-3</v>
      </c>
      <c r="T15" s="79">
        <v>7.0894898173247704E-4</v>
      </c>
      <c r="U15" s="71"/>
      <c r="V15" s="72" t="str">
        <f t="shared" si="2"/>
        <v>불검출</v>
      </c>
      <c r="W15" s="78" t="str">
        <f t="shared" si="3"/>
        <v>불검출</v>
      </c>
      <c r="X15" s="78" t="str">
        <f t="shared" si="4"/>
        <v>불검출</v>
      </c>
      <c r="Y15" s="78" t="str">
        <f t="shared" si="5"/>
        <v>불검출</v>
      </c>
      <c r="Z15" s="78" t="str">
        <f t="shared" si="6"/>
        <v>불검출</v>
      </c>
      <c r="AA15" s="78" t="str">
        <f t="shared" si="7"/>
        <v>불검출</v>
      </c>
      <c r="AB15" s="78" t="str">
        <f t="shared" si="8"/>
        <v>불검출</v>
      </c>
      <c r="AC15" s="78" t="str">
        <f t="shared" si="9"/>
        <v>불검출</v>
      </c>
      <c r="AD15" s="78" t="str">
        <f t="shared" si="10"/>
        <v>불검출</v>
      </c>
      <c r="AE15" s="81">
        <f t="shared" si="11"/>
        <v>4.1000000000000002E-2</v>
      </c>
      <c r="AF15" s="78" t="str">
        <f t="shared" si="12"/>
        <v>불검출</v>
      </c>
      <c r="AG15" s="78">
        <f t="shared" si="13"/>
        <v>2.3999999999999998E-3</v>
      </c>
      <c r="AH15" s="78">
        <f t="shared" si="14"/>
        <v>3.3800000000000002E-3</v>
      </c>
      <c r="AI15" s="78">
        <f t="shared" si="15"/>
        <v>8.1200000000000005E-3</v>
      </c>
      <c r="AJ15" s="73">
        <f t="shared" si="16"/>
        <v>6.9999999999999999E-4</v>
      </c>
    </row>
    <row r="16" spans="1:36" s="75" customFormat="1" ht="15" customHeight="1" x14ac:dyDescent="0.3">
      <c r="A16" s="70">
        <v>8</v>
      </c>
      <c r="B16" s="74" t="s">
        <v>51</v>
      </c>
      <c r="C16" s="74" t="s">
        <v>52</v>
      </c>
      <c r="D16" s="74" t="s">
        <v>37</v>
      </c>
      <c r="E16" s="74" t="s">
        <v>120</v>
      </c>
      <c r="F16" s="79">
        <v>6.3122492043837203E-5</v>
      </c>
      <c r="G16" s="79">
        <v>4.64712052551918E-4</v>
      </c>
      <c r="H16" s="79">
        <v>1.0001241927373699E-3</v>
      </c>
      <c r="I16" s="79">
        <v>5.7480324323752396E-6</v>
      </c>
      <c r="J16" s="79">
        <v>4.9447154192838304E-4</v>
      </c>
      <c r="K16" s="79">
        <v>-5.8265667567427796E-3</v>
      </c>
      <c r="L16" s="79">
        <v>4.1741565814215501E-4</v>
      </c>
      <c r="M16" s="79">
        <v>7.7084741218997601E-4</v>
      </c>
      <c r="N16" s="79">
        <v>6.4556762898897604E-6</v>
      </c>
      <c r="O16" s="79">
        <v>5.3096617090591205E-4</v>
      </c>
      <c r="P16" s="79">
        <v>6.3928032607554102E-3</v>
      </c>
      <c r="Q16" s="79">
        <v>-2.4544437140037399E-4</v>
      </c>
      <c r="R16" s="83" t="s">
        <v>121</v>
      </c>
      <c r="S16" s="79">
        <v>7.0174266019584004E-4</v>
      </c>
      <c r="T16" s="79">
        <v>2.64321927732458E-4</v>
      </c>
      <c r="U16" s="71"/>
      <c r="V16" s="72" t="str">
        <f t="shared" si="2"/>
        <v>불검출</v>
      </c>
      <c r="W16" s="78" t="str">
        <f t="shared" si="3"/>
        <v>불검출</v>
      </c>
      <c r="X16" s="78" t="str">
        <f t="shared" si="4"/>
        <v>불검출</v>
      </c>
      <c r="Y16" s="78" t="str">
        <f t="shared" si="5"/>
        <v>불검출</v>
      </c>
      <c r="Z16" s="78" t="str">
        <f t="shared" si="6"/>
        <v>불검출</v>
      </c>
      <c r="AA16" s="78" t="str">
        <f t="shared" si="7"/>
        <v>불검출</v>
      </c>
      <c r="AB16" s="78" t="str">
        <f t="shared" si="8"/>
        <v>불검출</v>
      </c>
      <c r="AC16" s="78" t="str">
        <f t="shared" si="9"/>
        <v>불검출</v>
      </c>
      <c r="AD16" s="78" t="str">
        <f t="shared" si="10"/>
        <v>불검출</v>
      </c>
      <c r="AE16" s="81" t="str">
        <f t="shared" si="11"/>
        <v>불검출</v>
      </c>
      <c r="AF16" s="78" t="str">
        <f t="shared" si="12"/>
        <v>불검출</v>
      </c>
      <c r="AG16" s="78" t="str">
        <f t="shared" si="13"/>
        <v>불검출</v>
      </c>
      <c r="AH16" s="78">
        <f t="shared" si="14"/>
        <v>0.57621</v>
      </c>
      <c r="AI16" s="78">
        <f t="shared" si="15"/>
        <v>6.9999999999999999E-4</v>
      </c>
      <c r="AJ16" s="73">
        <f t="shared" si="16"/>
        <v>2.5999999999999998E-4</v>
      </c>
    </row>
    <row r="17" spans="1:36" s="75" customFormat="1" ht="15" customHeight="1" x14ac:dyDescent="0.3">
      <c r="A17" s="70">
        <v>9</v>
      </c>
      <c r="B17" s="74" t="s">
        <v>53</v>
      </c>
      <c r="C17" s="74" t="s">
        <v>54</v>
      </c>
      <c r="D17" s="74" t="s">
        <v>37</v>
      </c>
      <c r="E17" s="74" t="s">
        <v>120</v>
      </c>
      <c r="F17" s="79">
        <v>1.89818603972283E-5</v>
      </c>
      <c r="G17" s="79">
        <v>1.68563567699456E-3</v>
      </c>
      <c r="H17" s="79">
        <v>1.09395504869692E-4</v>
      </c>
      <c r="I17" s="79">
        <v>-1.9160074666098499E-6</v>
      </c>
      <c r="J17" s="79">
        <v>3.5891680370443799E-4</v>
      </c>
      <c r="K17" s="79">
        <v>-6.7192292973292196E-3</v>
      </c>
      <c r="L17" s="79">
        <v>-3.84369973068792E-5</v>
      </c>
      <c r="M17" s="79">
        <v>3.95004691447906E-4</v>
      </c>
      <c r="N17" s="79">
        <v>1.11504699336167E-5</v>
      </c>
      <c r="O17" s="79">
        <v>-7.8704262889594897E-5</v>
      </c>
      <c r="P17" s="79">
        <v>-1.3366331013072599E-3</v>
      </c>
      <c r="Q17" s="79">
        <v>-1.2443143494558901E-3</v>
      </c>
      <c r="R17" s="79">
        <v>8.9914553643304293E-3</v>
      </c>
      <c r="S17" s="79">
        <v>2.3382827553509401E-4</v>
      </c>
      <c r="T17" s="79">
        <v>4.3083166569493397E-4</v>
      </c>
      <c r="U17" s="71"/>
      <c r="V17" s="72" t="str">
        <f t="shared" si="2"/>
        <v>불검출</v>
      </c>
      <c r="W17" s="78" t="str">
        <f t="shared" si="3"/>
        <v>불검출</v>
      </c>
      <c r="X17" s="78" t="str">
        <f t="shared" si="4"/>
        <v>불검출</v>
      </c>
      <c r="Y17" s="78" t="str">
        <f t="shared" si="5"/>
        <v>불검출</v>
      </c>
      <c r="Z17" s="78" t="str">
        <f t="shared" si="6"/>
        <v>불검출</v>
      </c>
      <c r="AA17" s="78" t="str">
        <f t="shared" si="7"/>
        <v>불검출</v>
      </c>
      <c r="AB17" s="78" t="str">
        <f t="shared" si="8"/>
        <v>불검출</v>
      </c>
      <c r="AC17" s="78" t="str">
        <f t="shared" si="9"/>
        <v>불검출</v>
      </c>
      <c r="AD17" s="78" t="str">
        <f t="shared" si="10"/>
        <v>불검출</v>
      </c>
      <c r="AE17" s="81" t="str">
        <f t="shared" si="11"/>
        <v>불검출</v>
      </c>
      <c r="AF17" s="78" t="str">
        <f t="shared" si="12"/>
        <v>불검출</v>
      </c>
      <c r="AG17" s="78" t="str">
        <f t="shared" si="13"/>
        <v>불검출</v>
      </c>
      <c r="AH17" s="78">
        <f t="shared" si="14"/>
        <v>8.9899999999999997E-3</v>
      </c>
      <c r="AI17" s="78" t="str">
        <f t="shared" si="15"/>
        <v>불검출</v>
      </c>
      <c r="AJ17" s="73">
        <f t="shared" si="16"/>
        <v>4.2999999999999999E-4</v>
      </c>
    </row>
    <row r="18" spans="1:36" s="75" customFormat="1" ht="15" customHeight="1" x14ac:dyDescent="0.3">
      <c r="A18" s="70">
        <v>10</v>
      </c>
      <c r="B18" s="74" t="s">
        <v>55</v>
      </c>
      <c r="C18" s="74" t="s">
        <v>56</v>
      </c>
      <c r="D18" s="74" t="s">
        <v>37</v>
      </c>
      <c r="E18" s="74" t="s">
        <v>120</v>
      </c>
      <c r="F18" s="79">
        <v>2.60002141440728E-5</v>
      </c>
      <c r="G18" s="79">
        <v>-4.6394361080116697E-5</v>
      </c>
      <c r="H18" s="79">
        <v>-5.7622399560166401E-6</v>
      </c>
      <c r="I18" s="79">
        <v>-3.7021144323616301E-6</v>
      </c>
      <c r="J18" s="79">
        <v>5.2210084629211201E-5</v>
      </c>
      <c r="K18" s="79">
        <v>-5.4574635620777204E-3</v>
      </c>
      <c r="L18" s="79">
        <v>-3.1470068316760799E-5</v>
      </c>
      <c r="M18" s="79">
        <v>7.2192252403733794E-5</v>
      </c>
      <c r="N18" s="79">
        <v>-1.9608997045646701E-7</v>
      </c>
      <c r="O18" s="79">
        <v>3.0903555759054001E-3</v>
      </c>
      <c r="P18" s="79">
        <v>5.7193940810772702E-4</v>
      </c>
      <c r="Q18" s="79">
        <v>-1.7277176033834701E-3</v>
      </c>
      <c r="R18" s="79">
        <v>2.78072587700361E-5</v>
      </c>
      <c r="S18" s="79">
        <v>9.2804553583236805E-6</v>
      </c>
      <c r="T18" s="79">
        <v>8.7757809950868597E-4</v>
      </c>
      <c r="U18" s="71"/>
      <c r="V18" s="72" t="str">
        <f t="shared" si="2"/>
        <v>불검출</v>
      </c>
      <c r="W18" s="78" t="str">
        <f t="shared" si="3"/>
        <v>불검출</v>
      </c>
      <c r="X18" s="78" t="str">
        <f t="shared" si="4"/>
        <v>불검출</v>
      </c>
      <c r="Y18" s="78" t="str">
        <f t="shared" si="5"/>
        <v>불검출</v>
      </c>
      <c r="Z18" s="78" t="str">
        <f t="shared" si="6"/>
        <v>불검출</v>
      </c>
      <c r="AA18" s="78" t="str">
        <f t="shared" si="7"/>
        <v>불검출</v>
      </c>
      <c r="AB18" s="78" t="str">
        <f t="shared" si="8"/>
        <v>불검출</v>
      </c>
      <c r="AC18" s="78" t="str">
        <f t="shared" si="9"/>
        <v>불검출</v>
      </c>
      <c r="AD18" s="78" t="str">
        <f t="shared" si="10"/>
        <v>불검출</v>
      </c>
      <c r="AE18" s="81" t="str">
        <f t="shared" si="11"/>
        <v>불검출</v>
      </c>
      <c r="AF18" s="78" t="str">
        <f t="shared" si="12"/>
        <v>불검출</v>
      </c>
      <c r="AG18" s="78" t="str">
        <f t="shared" si="13"/>
        <v>불검출</v>
      </c>
      <c r="AH18" s="78" t="str">
        <f t="shared" si="14"/>
        <v>불검출</v>
      </c>
      <c r="AI18" s="78" t="str">
        <f t="shared" si="15"/>
        <v>불검출</v>
      </c>
      <c r="AJ18" s="73">
        <f t="shared" si="16"/>
        <v>8.7000000000000001E-4</v>
      </c>
    </row>
    <row r="19" spans="1:36" s="75" customFormat="1" ht="15" customHeight="1" x14ac:dyDescent="0.3">
      <c r="A19" s="70">
        <v>11</v>
      </c>
      <c r="B19" s="74" t="s">
        <v>57</v>
      </c>
      <c r="C19" s="74" t="s">
        <v>58</v>
      </c>
      <c r="D19" s="74" t="s">
        <v>37</v>
      </c>
      <c r="E19" s="74" t="s">
        <v>120</v>
      </c>
      <c r="F19" s="79">
        <v>3.80059483624084E-4</v>
      </c>
      <c r="G19" s="79">
        <v>-4.7484810306723502E-5</v>
      </c>
      <c r="H19" s="79">
        <v>-1.36990159482463E-5</v>
      </c>
      <c r="I19" s="79">
        <v>-4.0593356672953004E-6</v>
      </c>
      <c r="J19" s="79">
        <v>1.3837564996149101E-5</v>
      </c>
      <c r="K19" s="79">
        <v>-3.89549199651683E-3</v>
      </c>
      <c r="L19" s="79">
        <v>-1.3311631933257199E-5</v>
      </c>
      <c r="M19" s="79">
        <v>5.0537180518688896E-4</v>
      </c>
      <c r="N19" s="79">
        <v>9.1508855670673202E-7</v>
      </c>
      <c r="O19" s="79">
        <v>-1.29640512485741E-4</v>
      </c>
      <c r="P19" s="79">
        <v>-2.6857631885368102E-3</v>
      </c>
      <c r="Q19" s="79">
        <v>-1.16241227862606E-3</v>
      </c>
      <c r="R19" s="79">
        <v>1.1887227000253399E-5</v>
      </c>
      <c r="S19" s="79">
        <v>-4.3902719051708399E-6</v>
      </c>
      <c r="T19" s="79">
        <v>1.1167967674630601E-3</v>
      </c>
      <c r="U19" s="71"/>
      <c r="V19" s="72" t="str">
        <f t="shared" si="2"/>
        <v>불검출</v>
      </c>
      <c r="W19" s="78" t="str">
        <f t="shared" si="3"/>
        <v>불검출</v>
      </c>
      <c r="X19" s="78" t="str">
        <f t="shared" si="4"/>
        <v>불검출</v>
      </c>
      <c r="Y19" s="78" t="str">
        <f t="shared" si="5"/>
        <v>불검출</v>
      </c>
      <c r="Z19" s="78" t="str">
        <f t="shared" si="6"/>
        <v>불검출</v>
      </c>
      <c r="AA19" s="78" t="str">
        <f t="shared" si="7"/>
        <v>불검출</v>
      </c>
      <c r="AB19" s="78" t="str">
        <f t="shared" si="8"/>
        <v>불검출</v>
      </c>
      <c r="AC19" s="78" t="str">
        <f t="shared" si="9"/>
        <v>불검출</v>
      </c>
      <c r="AD19" s="78" t="str">
        <f t="shared" si="10"/>
        <v>불검출</v>
      </c>
      <c r="AE19" s="81" t="str">
        <f t="shared" si="11"/>
        <v>불검출</v>
      </c>
      <c r="AF19" s="78" t="str">
        <f t="shared" si="12"/>
        <v>불검출</v>
      </c>
      <c r="AG19" s="78" t="str">
        <f t="shared" si="13"/>
        <v>불검출</v>
      </c>
      <c r="AH19" s="78" t="str">
        <f t="shared" si="14"/>
        <v>불검출</v>
      </c>
      <c r="AI19" s="78" t="str">
        <f t="shared" si="15"/>
        <v>불검출</v>
      </c>
      <c r="AJ19" s="73">
        <f t="shared" si="16"/>
        <v>1.1100000000000001E-3</v>
      </c>
    </row>
    <row r="20" spans="1:36" s="75" customFormat="1" ht="15" customHeight="1" x14ac:dyDescent="0.3">
      <c r="A20" s="70">
        <v>12</v>
      </c>
      <c r="B20" s="74" t="s">
        <v>59</v>
      </c>
      <c r="C20" s="74" t="s">
        <v>60</v>
      </c>
      <c r="D20" s="74" t="s">
        <v>37</v>
      </c>
      <c r="E20" s="74" t="s">
        <v>120</v>
      </c>
      <c r="F20" s="79">
        <v>1.05231851409642E-3</v>
      </c>
      <c r="G20" s="79">
        <v>-1.49940547746554E-4</v>
      </c>
      <c r="H20" s="79">
        <v>6.8075143627802797E-4</v>
      </c>
      <c r="I20" s="79">
        <v>-2.50055179371639E-5</v>
      </c>
      <c r="J20" s="79">
        <v>-1.8668580998218799E-5</v>
      </c>
      <c r="K20" s="79">
        <v>0.136573743762504</v>
      </c>
      <c r="L20" s="79">
        <v>2.1694861943732501E-4</v>
      </c>
      <c r="M20" s="79">
        <v>1.0843171077278099E-2</v>
      </c>
      <c r="N20" s="79">
        <v>1.51489653827978E-5</v>
      </c>
      <c r="O20" s="79">
        <v>-5.4466606481610898E-3</v>
      </c>
      <c r="P20" s="79">
        <v>0.62687773851430495</v>
      </c>
      <c r="Q20" s="84" t="s">
        <v>122</v>
      </c>
      <c r="R20" s="79">
        <v>1.50948023905965E-4</v>
      </c>
      <c r="S20" s="79">
        <v>4.0550331208836802E-5</v>
      </c>
      <c r="T20" s="79">
        <v>1.1621243309122499E-3</v>
      </c>
      <c r="U20" s="71"/>
      <c r="V20" s="72" t="str">
        <f t="shared" si="2"/>
        <v>불검출</v>
      </c>
      <c r="W20" s="78" t="str">
        <f t="shared" si="3"/>
        <v>불검출</v>
      </c>
      <c r="X20" s="78" t="str">
        <f t="shared" si="4"/>
        <v>불검출</v>
      </c>
      <c r="Y20" s="78" t="str">
        <f t="shared" si="5"/>
        <v>불검출</v>
      </c>
      <c r="Z20" s="78" t="str">
        <f t="shared" si="6"/>
        <v>불검출</v>
      </c>
      <c r="AA20" s="78">
        <f t="shared" si="7"/>
        <v>0.13600000000000001</v>
      </c>
      <c r="AB20" s="78" t="str">
        <f t="shared" si="8"/>
        <v>불검출</v>
      </c>
      <c r="AC20" s="78">
        <f t="shared" si="9"/>
        <v>1.0800000000000001E-2</v>
      </c>
      <c r="AD20" s="78" t="str">
        <f t="shared" si="10"/>
        <v>불검출</v>
      </c>
      <c r="AE20" s="81" t="str">
        <f t="shared" si="11"/>
        <v>불검출</v>
      </c>
      <c r="AF20" s="78">
        <f t="shared" si="12"/>
        <v>0.626</v>
      </c>
      <c r="AG20" s="78">
        <f t="shared" si="13"/>
        <v>8.4376999999999995</v>
      </c>
      <c r="AH20" s="78">
        <f t="shared" si="14"/>
        <v>1.4999999999999999E-4</v>
      </c>
      <c r="AI20" s="78" t="str">
        <f t="shared" si="15"/>
        <v>불검출</v>
      </c>
      <c r="AJ20" s="73">
        <f t="shared" si="16"/>
        <v>1.16E-3</v>
      </c>
    </row>
    <row r="21" spans="1:36" s="75" customFormat="1" ht="15" customHeight="1" x14ac:dyDescent="0.3">
      <c r="A21" s="70">
        <v>13</v>
      </c>
      <c r="B21" s="74" t="s">
        <v>61</v>
      </c>
      <c r="C21" s="74" t="s">
        <v>62</v>
      </c>
      <c r="D21" s="74" t="s">
        <v>37</v>
      </c>
      <c r="E21" s="74" t="s">
        <v>120</v>
      </c>
      <c r="F21" s="79">
        <v>2.9278467632194298E-4</v>
      </c>
      <c r="G21" s="79">
        <v>-4.1313848227058202E-5</v>
      </c>
      <c r="H21" s="79">
        <v>-4.5394928420414601E-6</v>
      </c>
      <c r="I21" s="79">
        <v>-3.5722158349550999E-6</v>
      </c>
      <c r="J21" s="79">
        <v>8.0618406788382906E-5</v>
      </c>
      <c r="K21" s="79">
        <v>-2.6390865178647898E-3</v>
      </c>
      <c r="L21" s="79">
        <v>-4.1974323045534599E-5</v>
      </c>
      <c r="M21" s="79">
        <v>4.1761409958642799E-4</v>
      </c>
      <c r="N21" s="79">
        <v>-9.2277648607981398E-8</v>
      </c>
      <c r="O21" s="79">
        <v>2.9999278435097199E-3</v>
      </c>
      <c r="P21" s="79">
        <v>-6.0859827983298102E-4</v>
      </c>
      <c r="Q21" s="79">
        <v>-1.7529280877357899E-3</v>
      </c>
      <c r="R21" s="79">
        <v>4.6436661809708998E-5</v>
      </c>
      <c r="S21" s="79">
        <v>4.71295202189503E-6</v>
      </c>
      <c r="T21" s="79">
        <v>6.2946834964653698E-4</v>
      </c>
      <c r="U21" s="71"/>
      <c r="V21" s="72" t="str">
        <f t="shared" si="2"/>
        <v>불검출</v>
      </c>
      <c r="W21" s="78" t="str">
        <f t="shared" si="3"/>
        <v>불검출</v>
      </c>
      <c r="X21" s="78" t="str">
        <f t="shared" si="4"/>
        <v>불검출</v>
      </c>
      <c r="Y21" s="78" t="str">
        <f t="shared" si="5"/>
        <v>불검출</v>
      </c>
      <c r="Z21" s="78" t="str">
        <f t="shared" si="6"/>
        <v>불검출</v>
      </c>
      <c r="AA21" s="78" t="str">
        <f t="shared" si="7"/>
        <v>불검출</v>
      </c>
      <c r="AB21" s="78" t="str">
        <f t="shared" si="8"/>
        <v>불검출</v>
      </c>
      <c r="AC21" s="78" t="str">
        <f t="shared" si="9"/>
        <v>불검출</v>
      </c>
      <c r="AD21" s="78" t="str">
        <f t="shared" si="10"/>
        <v>불검출</v>
      </c>
      <c r="AE21" s="81" t="str">
        <f t="shared" si="11"/>
        <v>불검출</v>
      </c>
      <c r="AF21" s="78" t="str">
        <f t="shared" si="12"/>
        <v>불검출</v>
      </c>
      <c r="AG21" s="78" t="str">
        <f t="shared" si="13"/>
        <v>불검출</v>
      </c>
      <c r="AH21" s="78" t="str">
        <f t="shared" si="14"/>
        <v>불검출</v>
      </c>
      <c r="AI21" s="78" t="str">
        <f t="shared" si="15"/>
        <v>불검출</v>
      </c>
      <c r="AJ21" s="73">
        <f t="shared" si="16"/>
        <v>6.2E-4</v>
      </c>
    </row>
    <row r="22" spans="1:36" s="75" customFormat="1" ht="15" customHeight="1" x14ac:dyDescent="0.3">
      <c r="A22" s="70">
        <v>14</v>
      </c>
      <c r="B22" s="74" t="s">
        <v>63</v>
      </c>
      <c r="C22" s="74" t="s">
        <v>64</v>
      </c>
      <c r="D22" s="74" t="s">
        <v>37</v>
      </c>
      <c r="E22" s="74" t="s">
        <v>120</v>
      </c>
      <c r="F22" s="79">
        <v>1.3993056544336501E-4</v>
      </c>
      <c r="G22" s="79">
        <v>-3.8810760593585099E-5</v>
      </c>
      <c r="H22" s="79">
        <v>-4.9534088941020202E-6</v>
      </c>
      <c r="I22" s="79">
        <v>-4.1892342389386103E-6</v>
      </c>
      <c r="J22" s="79">
        <v>8.1084834578942005E-5</v>
      </c>
      <c r="K22" s="79">
        <v>-1.0321118964665E-3</v>
      </c>
      <c r="L22" s="79">
        <v>1.49248561353369E-4</v>
      </c>
      <c r="M22" s="79">
        <v>4.8385293534250403E-4</v>
      </c>
      <c r="N22" s="79">
        <v>-5.7673535224572302E-8</v>
      </c>
      <c r="O22" s="79">
        <v>4.55194095484532E-3</v>
      </c>
      <c r="P22" s="79">
        <v>-3.4913833458970597E-5</v>
      </c>
      <c r="Q22" s="79">
        <v>-7.2855700933882996E-4</v>
      </c>
      <c r="R22" s="79">
        <v>1.3548367527692801E-4</v>
      </c>
      <c r="S22" s="79">
        <v>1.1893034492273399E-6</v>
      </c>
      <c r="T22" s="79">
        <v>6.3881708688843901E-4</v>
      </c>
      <c r="U22" s="71"/>
      <c r="V22" s="72" t="str">
        <f t="shared" si="2"/>
        <v>불검출</v>
      </c>
      <c r="W22" s="78" t="str">
        <f t="shared" si="3"/>
        <v>불검출</v>
      </c>
      <c r="X22" s="78" t="str">
        <f t="shared" si="4"/>
        <v>불검출</v>
      </c>
      <c r="Y22" s="78" t="str">
        <f t="shared" si="5"/>
        <v>불검출</v>
      </c>
      <c r="Z22" s="78" t="str">
        <f t="shared" si="6"/>
        <v>불검출</v>
      </c>
      <c r="AA22" s="78" t="str">
        <f t="shared" si="7"/>
        <v>불검출</v>
      </c>
      <c r="AB22" s="78" t="str">
        <f t="shared" si="8"/>
        <v>불검출</v>
      </c>
      <c r="AC22" s="78" t="str">
        <f t="shared" si="9"/>
        <v>불검출</v>
      </c>
      <c r="AD22" s="78" t="str">
        <f t="shared" si="10"/>
        <v>불검출</v>
      </c>
      <c r="AE22" s="81" t="str">
        <f t="shared" si="11"/>
        <v>불검출</v>
      </c>
      <c r="AF22" s="78" t="str">
        <f t="shared" si="12"/>
        <v>불검출</v>
      </c>
      <c r="AG22" s="78" t="str">
        <f t="shared" si="13"/>
        <v>불검출</v>
      </c>
      <c r="AH22" s="78">
        <f t="shared" si="14"/>
        <v>1.2999999999999999E-4</v>
      </c>
      <c r="AI22" s="78" t="str">
        <f t="shared" si="15"/>
        <v>불검출</v>
      </c>
      <c r="AJ22" s="73">
        <f t="shared" si="16"/>
        <v>6.3000000000000003E-4</v>
      </c>
    </row>
    <row r="23" spans="1:36" s="75" customFormat="1" ht="15" customHeight="1" x14ac:dyDescent="0.3">
      <c r="A23" s="70">
        <v>15</v>
      </c>
      <c r="B23" s="74" t="s">
        <v>65</v>
      </c>
      <c r="C23" s="74" t="s">
        <v>66</v>
      </c>
      <c r="D23" s="74" t="s">
        <v>37</v>
      </c>
      <c r="E23" s="74" t="s">
        <v>120</v>
      </c>
      <c r="F23" s="79">
        <v>2.5689911158924901E-4</v>
      </c>
      <c r="G23" s="79">
        <v>1.9559128375427198E-3</v>
      </c>
      <c r="H23" s="79">
        <v>4.6511568592967898E-5</v>
      </c>
      <c r="I23" s="79">
        <v>1.05543090943305E-5</v>
      </c>
      <c r="J23" s="79">
        <v>2.6066722579690501E-4</v>
      </c>
      <c r="K23" s="79">
        <v>8.2315273575353303E-4</v>
      </c>
      <c r="L23" s="79">
        <v>1.1177003721018399E-3</v>
      </c>
      <c r="M23" s="79">
        <v>6.7063367385496598E-4</v>
      </c>
      <c r="N23" s="79">
        <v>3.42373872224213E-5</v>
      </c>
      <c r="O23" s="79">
        <v>7.6886851318038504E-2</v>
      </c>
      <c r="P23" s="79">
        <v>7.1269497307782604E-3</v>
      </c>
      <c r="Q23" s="79">
        <v>2.58590978590282E-2</v>
      </c>
      <c r="R23" s="79">
        <v>2.32673215684615E-3</v>
      </c>
      <c r="S23" s="79">
        <v>1.30571803643774E-2</v>
      </c>
      <c r="T23" s="79">
        <v>1.29811156252017E-3</v>
      </c>
      <c r="U23" s="71"/>
      <c r="V23" s="72" t="str">
        <f t="shared" si="2"/>
        <v>불검출</v>
      </c>
      <c r="W23" s="78" t="str">
        <f t="shared" si="3"/>
        <v>불검출</v>
      </c>
      <c r="X23" s="78" t="str">
        <f t="shared" si="4"/>
        <v>불검출</v>
      </c>
      <c r="Y23" s="78" t="str">
        <f t="shared" si="5"/>
        <v>불검출</v>
      </c>
      <c r="Z23" s="78" t="str">
        <f t="shared" si="6"/>
        <v>불검출</v>
      </c>
      <c r="AA23" s="78" t="str">
        <f t="shared" si="7"/>
        <v>불검출</v>
      </c>
      <c r="AB23" s="78" t="str">
        <f t="shared" si="8"/>
        <v>불검출</v>
      </c>
      <c r="AC23" s="78" t="str">
        <f t="shared" si="9"/>
        <v>불검출</v>
      </c>
      <c r="AD23" s="78" t="str">
        <f t="shared" si="10"/>
        <v>불검출</v>
      </c>
      <c r="AE23" s="81">
        <f t="shared" si="11"/>
        <v>7.5999999999999998E-2</v>
      </c>
      <c r="AF23" s="78" t="str">
        <f t="shared" si="12"/>
        <v>불검출</v>
      </c>
      <c r="AG23" s="78">
        <f t="shared" si="13"/>
        <v>2.58E-2</v>
      </c>
      <c r="AH23" s="78">
        <f t="shared" si="14"/>
        <v>2.32E-3</v>
      </c>
      <c r="AI23" s="78">
        <f t="shared" si="15"/>
        <v>1.3050000000000001E-2</v>
      </c>
      <c r="AJ23" s="73">
        <f t="shared" si="16"/>
        <v>1.2899999999999999E-3</v>
      </c>
    </row>
    <row r="24" spans="1:36" s="75" customFormat="1" ht="15" customHeight="1" x14ac:dyDescent="0.3">
      <c r="A24" s="70">
        <v>16</v>
      </c>
      <c r="B24" s="74" t="s">
        <v>67</v>
      </c>
      <c r="C24" s="74" t="s">
        <v>68</v>
      </c>
      <c r="D24" s="74" t="s">
        <v>37</v>
      </c>
      <c r="E24" s="74" t="s">
        <v>120</v>
      </c>
      <c r="F24" s="79">
        <v>6.02622780731601E-5</v>
      </c>
      <c r="G24" s="79">
        <v>1.9408506886283701E-3</v>
      </c>
      <c r="H24" s="79">
        <v>4.4549255364061599E-5</v>
      </c>
      <c r="I24" s="79">
        <v>1.2080629041809199E-5</v>
      </c>
      <c r="J24" s="79">
        <v>2.65216052748759E-4</v>
      </c>
      <c r="K24" s="79">
        <v>-5.5399563177899302E-3</v>
      </c>
      <c r="L24" s="79">
        <v>3.4591309960836203E-2</v>
      </c>
      <c r="M24" s="79">
        <v>6.1343824146367697E-4</v>
      </c>
      <c r="N24" s="79">
        <v>3.4944948513744798E-5</v>
      </c>
      <c r="O24" s="79">
        <v>7.6104072536914993E-2</v>
      </c>
      <c r="P24" s="79">
        <v>7.1842249990269197E-3</v>
      </c>
      <c r="Q24" s="79">
        <v>1.0950566152329699E-2</v>
      </c>
      <c r="R24" s="79">
        <v>2.3905578403022E-3</v>
      </c>
      <c r="S24" s="79">
        <v>1.30700896984877E-2</v>
      </c>
      <c r="T24" s="79">
        <v>1.52348269124006E-3</v>
      </c>
      <c r="U24" s="71"/>
      <c r="V24" s="72" t="str">
        <f t="shared" si="2"/>
        <v>불검출</v>
      </c>
      <c r="W24" s="78" t="str">
        <f t="shared" si="3"/>
        <v>불검출</v>
      </c>
      <c r="X24" s="78" t="str">
        <f t="shared" si="4"/>
        <v>불검출</v>
      </c>
      <c r="Y24" s="78" t="str">
        <f t="shared" si="5"/>
        <v>불검출</v>
      </c>
      <c r="Z24" s="78" t="str">
        <f t="shared" si="6"/>
        <v>불검출</v>
      </c>
      <c r="AA24" s="78" t="str">
        <f t="shared" si="7"/>
        <v>불검출</v>
      </c>
      <c r="AB24" s="78">
        <f t="shared" si="8"/>
        <v>3.4500000000000003E-2</v>
      </c>
      <c r="AC24" s="78" t="str">
        <f t="shared" si="9"/>
        <v>불검출</v>
      </c>
      <c r="AD24" s="78" t="str">
        <f t="shared" si="10"/>
        <v>불검출</v>
      </c>
      <c r="AE24" s="81">
        <f t="shared" si="11"/>
        <v>7.5999999999999998E-2</v>
      </c>
      <c r="AF24" s="78" t="str">
        <f t="shared" si="12"/>
        <v>불검출</v>
      </c>
      <c r="AG24" s="78">
        <f t="shared" si="13"/>
        <v>1.09E-2</v>
      </c>
      <c r="AH24" s="78">
        <f t="shared" si="14"/>
        <v>2.3900000000000002E-3</v>
      </c>
      <c r="AI24" s="78">
        <f t="shared" si="15"/>
        <v>1.307E-2</v>
      </c>
      <c r="AJ24" s="73">
        <f t="shared" si="16"/>
        <v>1.5200000000000001E-3</v>
      </c>
    </row>
    <row r="25" spans="1:36" s="75" customFormat="1" ht="15" customHeight="1" x14ac:dyDescent="0.3">
      <c r="A25" s="70">
        <v>17</v>
      </c>
      <c r="B25" s="74" t="s">
        <v>69</v>
      </c>
      <c r="C25" s="74" t="s">
        <v>70</v>
      </c>
      <c r="D25" s="74" t="s">
        <v>37</v>
      </c>
      <c r="E25" s="74" t="s">
        <v>120</v>
      </c>
      <c r="F25" s="79">
        <v>3.1281112303155898E-5</v>
      </c>
      <c r="G25" s="79">
        <v>1.6511737450354501E-4</v>
      </c>
      <c r="H25" s="79">
        <v>4.1759252822770701E-4</v>
      </c>
      <c r="I25" s="79">
        <v>-2.6953998194001599E-6</v>
      </c>
      <c r="J25" s="79">
        <v>3.0130787099192699E-5</v>
      </c>
      <c r="K25" s="79">
        <v>-4.4439948466953299E-3</v>
      </c>
      <c r="L25" s="79">
        <v>-1.42848260416279E-5</v>
      </c>
      <c r="M25" s="79">
        <v>8.77454868664468E-4</v>
      </c>
      <c r="N25" s="79">
        <v>3.91798708843351E-6</v>
      </c>
      <c r="O25" s="79">
        <v>-8.1279860461825097E-4</v>
      </c>
      <c r="P25" s="79">
        <v>0.72727246679520896</v>
      </c>
      <c r="Q25" s="79">
        <v>-1.91861683980425E-3</v>
      </c>
      <c r="R25" s="79">
        <v>4.1334061127819902E-5</v>
      </c>
      <c r="S25" s="79">
        <v>7.2357740780589104E-5</v>
      </c>
      <c r="T25" s="79">
        <v>9.1961240591528E-4</v>
      </c>
      <c r="U25" s="71"/>
      <c r="V25" s="72" t="str">
        <f t="shared" si="2"/>
        <v>불검출</v>
      </c>
      <c r="W25" s="78" t="str">
        <f t="shared" si="3"/>
        <v>불검출</v>
      </c>
      <c r="X25" s="78" t="str">
        <f t="shared" si="4"/>
        <v>불검출</v>
      </c>
      <c r="Y25" s="78" t="str">
        <f t="shared" si="5"/>
        <v>불검출</v>
      </c>
      <c r="Z25" s="78" t="str">
        <f t="shared" si="6"/>
        <v>불검출</v>
      </c>
      <c r="AA25" s="78" t="str">
        <f t="shared" si="7"/>
        <v>불검출</v>
      </c>
      <c r="AB25" s="78" t="str">
        <f t="shared" si="8"/>
        <v>불검출</v>
      </c>
      <c r="AC25" s="78" t="str">
        <f t="shared" si="9"/>
        <v>불검출</v>
      </c>
      <c r="AD25" s="78" t="str">
        <f t="shared" si="10"/>
        <v>불검출</v>
      </c>
      <c r="AE25" s="81" t="str">
        <f t="shared" si="11"/>
        <v>불검출</v>
      </c>
      <c r="AF25" s="78">
        <f t="shared" si="12"/>
        <v>0.72699999999999998</v>
      </c>
      <c r="AG25" s="78" t="str">
        <f t="shared" si="13"/>
        <v>불검출</v>
      </c>
      <c r="AH25" s="78" t="str">
        <f t="shared" si="14"/>
        <v>불검출</v>
      </c>
      <c r="AI25" s="78" t="str">
        <f t="shared" si="15"/>
        <v>불검출</v>
      </c>
      <c r="AJ25" s="73">
        <f t="shared" si="16"/>
        <v>9.1E-4</v>
      </c>
    </row>
    <row r="26" spans="1:36" s="75" customFormat="1" ht="15" customHeight="1" x14ac:dyDescent="0.3">
      <c r="A26" s="70">
        <v>18</v>
      </c>
      <c r="B26" s="74" t="s">
        <v>71</v>
      </c>
      <c r="C26" s="74" t="s">
        <v>72</v>
      </c>
      <c r="D26" s="74" t="s">
        <v>37</v>
      </c>
      <c r="E26" s="74" t="s">
        <v>120</v>
      </c>
      <c r="F26" s="79">
        <v>1.08848770660129E-4</v>
      </c>
      <c r="G26" s="79">
        <v>8.4931489015690998E-4</v>
      </c>
      <c r="H26" s="79">
        <v>9.2678541488518205E-5</v>
      </c>
      <c r="I26" s="79">
        <v>-4.3516075103234E-6</v>
      </c>
      <c r="J26" s="79">
        <v>1.30574799486745E-5</v>
      </c>
      <c r="K26" s="79">
        <v>-7.2603358107757501E-3</v>
      </c>
      <c r="L26" s="79">
        <v>7.1055368971610503E-4</v>
      </c>
      <c r="M26" s="79">
        <v>4.22742854794117E-3</v>
      </c>
      <c r="N26" s="79">
        <v>7.1862287282794403E-6</v>
      </c>
      <c r="O26" s="79">
        <v>1.85976579294819E-3</v>
      </c>
      <c r="P26" s="79">
        <v>1.7006863155165301E-3</v>
      </c>
      <c r="Q26" s="79">
        <v>1.02284823335751E-2</v>
      </c>
      <c r="R26" s="79">
        <v>6.9861241658064298E-6</v>
      </c>
      <c r="S26" s="79">
        <v>9.49401459630538E-5</v>
      </c>
      <c r="T26" s="79">
        <v>4.1623441715353201E-4</v>
      </c>
      <c r="U26" s="71"/>
      <c r="V26" s="72" t="str">
        <f t="shared" si="2"/>
        <v>불검출</v>
      </c>
      <c r="W26" s="78" t="str">
        <f t="shared" si="3"/>
        <v>불검출</v>
      </c>
      <c r="X26" s="78" t="str">
        <f t="shared" si="4"/>
        <v>불검출</v>
      </c>
      <c r="Y26" s="78" t="str">
        <f t="shared" si="5"/>
        <v>불검출</v>
      </c>
      <c r="Z26" s="78" t="str">
        <f t="shared" si="6"/>
        <v>불검출</v>
      </c>
      <c r="AA26" s="78" t="str">
        <f t="shared" si="7"/>
        <v>불검출</v>
      </c>
      <c r="AB26" s="78" t="str">
        <f t="shared" si="8"/>
        <v>불검출</v>
      </c>
      <c r="AC26" s="78">
        <f t="shared" si="9"/>
        <v>4.1999999999999997E-3</v>
      </c>
      <c r="AD26" s="78" t="str">
        <f t="shared" si="10"/>
        <v>불검출</v>
      </c>
      <c r="AE26" s="81" t="str">
        <f t="shared" si="11"/>
        <v>불검출</v>
      </c>
      <c r="AF26" s="78" t="str">
        <f t="shared" si="12"/>
        <v>불검출</v>
      </c>
      <c r="AG26" s="78">
        <f t="shared" si="13"/>
        <v>1.0200000000000001E-2</v>
      </c>
      <c r="AH26" s="78" t="str">
        <f t="shared" si="14"/>
        <v>불검출</v>
      </c>
      <c r="AI26" s="78" t="str">
        <f t="shared" si="15"/>
        <v>불검출</v>
      </c>
      <c r="AJ26" s="73">
        <f t="shared" si="16"/>
        <v>4.0999999999999999E-4</v>
      </c>
    </row>
    <row r="27" spans="1:36" s="75" customFormat="1" ht="15" customHeight="1" x14ac:dyDescent="0.3">
      <c r="A27" s="70">
        <v>19</v>
      </c>
      <c r="B27" s="74" t="s">
        <v>73</v>
      </c>
      <c r="C27" s="74" t="s">
        <v>74</v>
      </c>
      <c r="D27" s="74" t="s">
        <v>37</v>
      </c>
      <c r="E27" s="74" t="s">
        <v>120</v>
      </c>
      <c r="F27" s="79">
        <v>8.3636956675957498E-5</v>
      </c>
      <c r="G27" s="79">
        <v>3.3605244643123702E-4</v>
      </c>
      <c r="H27" s="79">
        <v>4.5367196013923402E-4</v>
      </c>
      <c r="I27" s="79">
        <v>-1.03919082364359E-6</v>
      </c>
      <c r="J27" s="79">
        <v>1.5629887783595399E-4</v>
      </c>
      <c r="K27" s="79">
        <v>-6.5674056528646002E-3</v>
      </c>
      <c r="L27" s="79">
        <v>5.8861226557452301E-5</v>
      </c>
      <c r="M27" s="79">
        <v>4.3085772306910599E-4</v>
      </c>
      <c r="N27" s="79">
        <v>1.5295498959937602E-5</v>
      </c>
      <c r="O27" s="79">
        <v>2.3273423034609001E-3</v>
      </c>
      <c r="P27" s="79">
        <v>1.4685799810872299E-3</v>
      </c>
      <c r="Q27" s="79">
        <v>4.2585858635150401E-4</v>
      </c>
      <c r="R27" s="79">
        <v>1.2179277765158999E-3</v>
      </c>
      <c r="S27" s="79">
        <v>7.1177425002804404E-4</v>
      </c>
      <c r="T27" s="79">
        <v>1.31682976860808E-4</v>
      </c>
      <c r="U27" s="71"/>
      <c r="V27" s="72" t="str">
        <f t="shared" si="2"/>
        <v>불검출</v>
      </c>
      <c r="W27" s="78" t="str">
        <f t="shared" si="3"/>
        <v>불검출</v>
      </c>
      <c r="X27" s="78" t="str">
        <f t="shared" si="4"/>
        <v>불검출</v>
      </c>
      <c r="Y27" s="78" t="str">
        <f t="shared" si="5"/>
        <v>불검출</v>
      </c>
      <c r="Z27" s="78" t="str">
        <f t="shared" si="6"/>
        <v>불검출</v>
      </c>
      <c r="AA27" s="78" t="str">
        <f t="shared" si="7"/>
        <v>불검출</v>
      </c>
      <c r="AB27" s="78" t="str">
        <f t="shared" si="8"/>
        <v>불검출</v>
      </c>
      <c r="AC27" s="78" t="str">
        <f t="shared" si="9"/>
        <v>불검출</v>
      </c>
      <c r="AD27" s="78" t="str">
        <f t="shared" si="10"/>
        <v>불검출</v>
      </c>
      <c r="AE27" s="81" t="str">
        <f t="shared" si="11"/>
        <v>불검출</v>
      </c>
      <c r="AF27" s="78" t="str">
        <f t="shared" si="12"/>
        <v>불검출</v>
      </c>
      <c r="AG27" s="78" t="str">
        <f t="shared" si="13"/>
        <v>불검출</v>
      </c>
      <c r="AH27" s="78">
        <f t="shared" si="14"/>
        <v>1.2099999999999999E-3</v>
      </c>
      <c r="AI27" s="78">
        <f t="shared" si="15"/>
        <v>7.1000000000000002E-4</v>
      </c>
      <c r="AJ27" s="73">
        <f t="shared" si="16"/>
        <v>1.2999999999999999E-4</v>
      </c>
    </row>
    <row r="28" spans="1:36" s="75" customFormat="1" ht="15" customHeight="1" x14ac:dyDescent="0.3">
      <c r="A28" s="70">
        <v>20</v>
      </c>
      <c r="B28" s="74" t="s">
        <v>75</v>
      </c>
      <c r="C28" s="74" t="s">
        <v>76</v>
      </c>
      <c r="D28" s="74" t="s">
        <v>37</v>
      </c>
      <c r="E28" s="74" t="s">
        <v>120</v>
      </c>
      <c r="F28" s="79">
        <v>5.0105759528434201E-5</v>
      </c>
      <c r="G28" s="79">
        <v>2.19292994458746E-3</v>
      </c>
      <c r="H28" s="79">
        <v>4.6354886319348003E-5</v>
      </c>
      <c r="I28" s="79">
        <v>1.32822009764956E-5</v>
      </c>
      <c r="J28" s="79">
        <v>2.5534625849081598E-4</v>
      </c>
      <c r="K28" s="79">
        <v>-1.68829405504702E-3</v>
      </c>
      <c r="L28" s="79">
        <v>7.3605875318164904E-4</v>
      </c>
      <c r="M28" s="79">
        <v>1.75268642604651E-3</v>
      </c>
      <c r="N28" s="79">
        <v>3.4433503992620303E-5</v>
      </c>
      <c r="O28" s="79">
        <v>3.9177472082764501E-2</v>
      </c>
      <c r="P28" s="79">
        <v>8.0097901157314792E-3</v>
      </c>
      <c r="Q28" s="79">
        <v>1.23721415805036E-2</v>
      </c>
      <c r="R28" s="79">
        <v>5.3702470377956996E-3</v>
      </c>
      <c r="S28" s="79">
        <v>1.35736019809043E-2</v>
      </c>
      <c r="T28" s="79">
        <v>1.5072069571397E-3</v>
      </c>
      <c r="U28" s="71"/>
      <c r="V28" s="72" t="str">
        <f t="shared" si="2"/>
        <v>불검출</v>
      </c>
      <c r="W28" s="78" t="str">
        <f t="shared" si="3"/>
        <v>불검출</v>
      </c>
      <c r="X28" s="78" t="str">
        <f t="shared" si="4"/>
        <v>불검출</v>
      </c>
      <c r="Y28" s="78" t="str">
        <f t="shared" si="5"/>
        <v>불검출</v>
      </c>
      <c r="Z28" s="78" t="str">
        <f t="shared" si="6"/>
        <v>불검출</v>
      </c>
      <c r="AA28" s="78" t="str">
        <f t="shared" si="7"/>
        <v>불검출</v>
      </c>
      <c r="AB28" s="78" t="str">
        <f t="shared" si="8"/>
        <v>불검출</v>
      </c>
      <c r="AC28" s="78" t="str">
        <f t="shared" si="9"/>
        <v>불검출</v>
      </c>
      <c r="AD28" s="78" t="str">
        <f t="shared" si="10"/>
        <v>불검출</v>
      </c>
      <c r="AE28" s="81">
        <f t="shared" si="11"/>
        <v>3.9E-2</v>
      </c>
      <c r="AF28" s="78" t="str">
        <f t="shared" si="12"/>
        <v>불검출</v>
      </c>
      <c r="AG28" s="78">
        <f t="shared" si="13"/>
        <v>1.23E-2</v>
      </c>
      <c r="AH28" s="78">
        <f t="shared" si="14"/>
        <v>5.3699999999999998E-3</v>
      </c>
      <c r="AI28" s="78">
        <f t="shared" si="15"/>
        <v>1.357E-2</v>
      </c>
      <c r="AJ28" s="73">
        <f t="shared" si="16"/>
        <v>1.5E-3</v>
      </c>
    </row>
    <row r="29" spans="1:36" s="75" customFormat="1" ht="15" customHeight="1" x14ac:dyDescent="0.3">
      <c r="A29" s="70">
        <v>21</v>
      </c>
      <c r="B29" s="74" t="s">
        <v>77</v>
      </c>
      <c r="C29" s="74" t="s">
        <v>78</v>
      </c>
      <c r="D29" s="74" t="s">
        <v>37</v>
      </c>
      <c r="E29" s="74" t="s">
        <v>120</v>
      </c>
      <c r="F29" s="79">
        <v>2.7027304843377898E-4</v>
      </c>
      <c r="G29" s="79">
        <v>7.8194397378912806E-5</v>
      </c>
      <c r="H29" s="79">
        <v>1.90715729712286E-4</v>
      </c>
      <c r="I29" s="79">
        <v>7.2743488972380499E-6</v>
      </c>
      <c r="J29" s="79">
        <v>9.0364222663555697E-4</v>
      </c>
      <c r="K29" s="79">
        <v>-5.2129740108532501E-3</v>
      </c>
      <c r="L29" s="79">
        <v>2.4208389185418199E-5</v>
      </c>
      <c r="M29" s="79">
        <v>5.9759812707877299E-3</v>
      </c>
      <c r="N29" s="79">
        <v>2.1870777923674299E-5</v>
      </c>
      <c r="O29" s="79">
        <v>-5.47122101947946E-4</v>
      </c>
      <c r="P29" s="79">
        <v>5.5208719548687998E-4</v>
      </c>
      <c r="Q29" s="79">
        <v>1.34608972785578E-2</v>
      </c>
      <c r="R29" s="79">
        <v>3.0278835134727602E-5</v>
      </c>
      <c r="S29" s="79">
        <v>1.2354172411088501E-4</v>
      </c>
      <c r="T29" s="79">
        <v>3.8177144963997297E-4</v>
      </c>
      <c r="U29" s="71"/>
      <c r="V29" s="72" t="str">
        <f t="shared" si="2"/>
        <v>불검출</v>
      </c>
      <c r="W29" s="78" t="str">
        <f t="shared" si="3"/>
        <v>불검출</v>
      </c>
      <c r="X29" s="78" t="str">
        <f t="shared" si="4"/>
        <v>불검출</v>
      </c>
      <c r="Y29" s="78" t="str">
        <f t="shared" si="5"/>
        <v>불검출</v>
      </c>
      <c r="Z29" s="78" t="str">
        <f t="shared" si="6"/>
        <v>불검출</v>
      </c>
      <c r="AA29" s="78" t="str">
        <f t="shared" si="7"/>
        <v>불검출</v>
      </c>
      <c r="AB29" s="78" t="str">
        <f t="shared" si="8"/>
        <v>불검출</v>
      </c>
      <c r="AC29" s="78">
        <f t="shared" si="9"/>
        <v>5.8999999999999999E-3</v>
      </c>
      <c r="AD29" s="78" t="str">
        <f t="shared" si="10"/>
        <v>불검출</v>
      </c>
      <c r="AE29" s="81" t="str">
        <f t="shared" si="11"/>
        <v>불검출</v>
      </c>
      <c r="AF29" s="78" t="str">
        <f t="shared" si="12"/>
        <v>불검출</v>
      </c>
      <c r="AG29" s="78">
        <f t="shared" si="13"/>
        <v>1.34E-2</v>
      </c>
      <c r="AH29" s="78" t="str">
        <f t="shared" si="14"/>
        <v>불검출</v>
      </c>
      <c r="AI29" s="78" t="str">
        <f t="shared" si="15"/>
        <v>불검출</v>
      </c>
      <c r="AJ29" s="73">
        <f t="shared" si="16"/>
        <v>3.8000000000000002E-4</v>
      </c>
    </row>
    <row r="30" spans="1:36" s="75" customFormat="1" ht="15" customHeight="1" x14ac:dyDescent="0.3">
      <c r="A30" s="70">
        <v>22</v>
      </c>
      <c r="B30" s="74" t="s">
        <v>79</v>
      </c>
      <c r="C30" s="74" t="s">
        <v>80</v>
      </c>
      <c r="D30" s="74" t="s">
        <v>37</v>
      </c>
      <c r="E30" s="74" t="s">
        <v>120</v>
      </c>
      <c r="F30" s="79">
        <v>4.4017545821892399E-5</v>
      </c>
      <c r="G30" s="79">
        <v>5.3075636994511096E-4</v>
      </c>
      <c r="H30" s="79">
        <v>1.0858502817187299E-3</v>
      </c>
      <c r="I30" s="79">
        <v>7.1119746650318397E-6</v>
      </c>
      <c r="J30" s="79">
        <v>5.0248438934612704E-4</v>
      </c>
      <c r="K30" s="79">
        <v>-6.4460351039861601E-3</v>
      </c>
      <c r="L30" s="79">
        <v>4.3275301407053502E-4</v>
      </c>
      <c r="M30" s="79">
        <v>7.7669754434209995E-4</v>
      </c>
      <c r="N30" s="79">
        <v>7.2977333692720304E-6</v>
      </c>
      <c r="O30" s="79">
        <v>2.0202114293749101E-4</v>
      </c>
      <c r="P30" s="79">
        <v>6.1367442074639197E-3</v>
      </c>
      <c r="Q30" s="79">
        <v>-9.3669885763505696E-4</v>
      </c>
      <c r="R30" s="84" t="s">
        <v>123</v>
      </c>
      <c r="S30" s="79">
        <v>6.8451276773250698E-4</v>
      </c>
      <c r="T30" s="79">
        <v>2.2700648653305099E-4</v>
      </c>
      <c r="U30" s="71"/>
      <c r="V30" s="72" t="str">
        <f t="shared" si="2"/>
        <v>불검출</v>
      </c>
      <c r="W30" s="78" t="str">
        <f t="shared" si="3"/>
        <v>불검출</v>
      </c>
      <c r="X30" s="78" t="str">
        <f t="shared" si="4"/>
        <v>불검출</v>
      </c>
      <c r="Y30" s="78" t="str">
        <f t="shared" si="5"/>
        <v>불검출</v>
      </c>
      <c r="Z30" s="78" t="str">
        <f t="shared" si="6"/>
        <v>불검출</v>
      </c>
      <c r="AA30" s="78" t="str">
        <f t="shared" si="7"/>
        <v>불검출</v>
      </c>
      <c r="AB30" s="78" t="str">
        <f t="shared" si="8"/>
        <v>불검출</v>
      </c>
      <c r="AC30" s="78" t="str">
        <f t="shared" si="9"/>
        <v>불검출</v>
      </c>
      <c r="AD30" s="78" t="str">
        <f t="shared" si="10"/>
        <v>불검출</v>
      </c>
      <c r="AE30" s="81" t="str">
        <f t="shared" si="11"/>
        <v>불검출</v>
      </c>
      <c r="AF30" s="78" t="str">
        <f t="shared" si="12"/>
        <v>불검출</v>
      </c>
      <c r="AG30" s="78" t="str">
        <f t="shared" si="13"/>
        <v>불검출</v>
      </c>
      <c r="AH30" s="78">
        <f t="shared" si="14"/>
        <v>0.67791000000000001</v>
      </c>
      <c r="AI30" s="78">
        <f t="shared" si="15"/>
        <v>6.8000000000000005E-4</v>
      </c>
      <c r="AJ30" s="73">
        <f t="shared" si="16"/>
        <v>2.2000000000000001E-4</v>
      </c>
    </row>
    <row r="31" spans="1:36" s="75" customFormat="1" ht="15" customHeight="1" x14ac:dyDescent="0.3">
      <c r="A31" s="70">
        <v>23</v>
      </c>
      <c r="B31" s="74" t="s">
        <v>81</v>
      </c>
      <c r="C31" s="74" t="s">
        <v>82</v>
      </c>
      <c r="D31" s="74" t="s">
        <v>37</v>
      </c>
      <c r="E31" s="74" t="s">
        <v>120</v>
      </c>
      <c r="F31" s="79">
        <v>1.24005730330392E-4</v>
      </c>
      <c r="G31" s="79">
        <v>2.3945303935378801E-4</v>
      </c>
      <c r="H31" s="79">
        <v>3.1169529288898202E-4</v>
      </c>
      <c r="I31" s="79">
        <v>1.6237336989111901E-7</v>
      </c>
      <c r="J31" s="79">
        <v>3.2329261164025801E-4</v>
      </c>
      <c r="K31" s="79">
        <v>-6.3573366365300204E-3</v>
      </c>
      <c r="L31" s="79">
        <v>7.1650177779388196E-4</v>
      </c>
      <c r="M31" s="79">
        <v>8.5486902281743898E-4</v>
      </c>
      <c r="N31" s="79">
        <v>3.7180490306911899E-6</v>
      </c>
      <c r="O31" s="79">
        <v>2.8955364284924298E-4</v>
      </c>
      <c r="P31" s="79">
        <v>-1.94014996620938E-3</v>
      </c>
      <c r="Q31" s="79">
        <v>4.2103809806757201E-4</v>
      </c>
      <c r="R31" s="79">
        <v>2.85267340514765E-4</v>
      </c>
      <c r="S31" s="79">
        <v>3.48241257860777E-4</v>
      </c>
      <c r="T31" s="79">
        <v>1.6697077815583201E-3</v>
      </c>
      <c r="U31" s="71"/>
      <c r="V31" s="72" t="str">
        <f t="shared" si="2"/>
        <v>불검출</v>
      </c>
      <c r="W31" s="78" t="str">
        <f t="shared" si="3"/>
        <v>불검출</v>
      </c>
      <c r="X31" s="78" t="str">
        <f t="shared" si="4"/>
        <v>불검출</v>
      </c>
      <c r="Y31" s="78" t="str">
        <f t="shared" si="5"/>
        <v>불검출</v>
      </c>
      <c r="Z31" s="78" t="str">
        <f t="shared" si="6"/>
        <v>불검출</v>
      </c>
      <c r="AA31" s="78" t="str">
        <f t="shared" si="7"/>
        <v>불검출</v>
      </c>
      <c r="AB31" s="78" t="str">
        <f t="shared" si="8"/>
        <v>불검출</v>
      </c>
      <c r="AC31" s="78" t="str">
        <f t="shared" si="9"/>
        <v>불검출</v>
      </c>
      <c r="AD31" s="78" t="str">
        <f t="shared" si="10"/>
        <v>불검출</v>
      </c>
      <c r="AE31" s="81" t="str">
        <f t="shared" si="11"/>
        <v>불검출</v>
      </c>
      <c r="AF31" s="78" t="str">
        <f t="shared" si="12"/>
        <v>불검출</v>
      </c>
      <c r="AG31" s="78" t="str">
        <f t="shared" si="13"/>
        <v>불검출</v>
      </c>
      <c r="AH31" s="78">
        <f t="shared" si="14"/>
        <v>2.7999999999999998E-4</v>
      </c>
      <c r="AI31" s="78">
        <f t="shared" si="15"/>
        <v>3.4000000000000002E-4</v>
      </c>
      <c r="AJ31" s="73">
        <f t="shared" si="16"/>
        <v>1.66E-3</v>
      </c>
    </row>
    <row r="32" spans="1:36" s="75" customFormat="1" ht="15" customHeight="1" x14ac:dyDescent="0.3">
      <c r="A32" s="70">
        <v>24</v>
      </c>
      <c r="B32" s="74" t="s">
        <v>83</v>
      </c>
      <c r="C32" s="74" t="s">
        <v>84</v>
      </c>
      <c r="D32" s="74" t="s">
        <v>37</v>
      </c>
      <c r="E32" s="74" t="s">
        <v>120</v>
      </c>
      <c r="F32" s="79">
        <v>2.1355926275724599E-4</v>
      </c>
      <c r="G32" s="79">
        <v>4.5602602823317903E-5</v>
      </c>
      <c r="H32" s="79">
        <v>9.2668778474787997E-5</v>
      </c>
      <c r="I32" s="79">
        <v>3.6371712312279201E-6</v>
      </c>
      <c r="J32" s="79">
        <v>1.4711623608037799E-4</v>
      </c>
      <c r="K32" s="79">
        <v>-6.2705205251992399E-3</v>
      </c>
      <c r="L32" s="79">
        <v>1.57812821720205E-4</v>
      </c>
      <c r="M32" s="79">
        <v>1.21214328836064E-3</v>
      </c>
      <c r="N32" s="79">
        <v>1.5222439295583199E-5</v>
      </c>
      <c r="O32" s="79">
        <v>6.4217225889808298E-4</v>
      </c>
      <c r="P32" s="79">
        <v>1.26393566998196E-3</v>
      </c>
      <c r="Q32" s="79">
        <v>1.10191978137845E-3</v>
      </c>
      <c r="R32" s="79">
        <v>4.6107010718232097E-3</v>
      </c>
      <c r="S32" s="79">
        <v>1.56442254423886E-4</v>
      </c>
      <c r="T32" s="79">
        <v>2.5320612906247298E-5</v>
      </c>
      <c r="U32" s="71"/>
      <c r="V32" s="72" t="str">
        <f t="shared" si="2"/>
        <v>불검출</v>
      </c>
      <c r="W32" s="78" t="str">
        <f t="shared" si="3"/>
        <v>불검출</v>
      </c>
      <c r="X32" s="78" t="str">
        <f t="shared" si="4"/>
        <v>불검출</v>
      </c>
      <c r="Y32" s="78" t="str">
        <f t="shared" si="5"/>
        <v>불검출</v>
      </c>
      <c r="Z32" s="78" t="str">
        <f t="shared" si="6"/>
        <v>불검출</v>
      </c>
      <c r="AA32" s="78" t="str">
        <f t="shared" si="7"/>
        <v>불검출</v>
      </c>
      <c r="AB32" s="78" t="str">
        <f t="shared" si="8"/>
        <v>불검출</v>
      </c>
      <c r="AC32" s="78" t="str">
        <f t="shared" si="9"/>
        <v>불검출</v>
      </c>
      <c r="AD32" s="78" t="str">
        <f t="shared" si="10"/>
        <v>불검출</v>
      </c>
      <c r="AE32" s="81" t="str">
        <f t="shared" si="11"/>
        <v>불검출</v>
      </c>
      <c r="AF32" s="78" t="str">
        <f t="shared" si="12"/>
        <v>불검출</v>
      </c>
      <c r="AG32" s="78" t="str">
        <f t="shared" si="13"/>
        <v>불검출</v>
      </c>
      <c r="AH32" s="78">
        <f t="shared" si="14"/>
        <v>4.6100000000000004E-3</v>
      </c>
      <c r="AI32" s="78" t="str">
        <f t="shared" si="15"/>
        <v>불검출</v>
      </c>
      <c r="AJ32" s="73" t="str">
        <f t="shared" si="16"/>
        <v>불검출</v>
      </c>
    </row>
    <row r="33" spans="1:36" s="75" customFormat="1" ht="15" customHeight="1" x14ac:dyDescent="0.3">
      <c r="A33" s="70">
        <v>25</v>
      </c>
      <c r="B33" s="74" t="s">
        <v>85</v>
      </c>
      <c r="C33" s="74" t="s">
        <v>86</v>
      </c>
      <c r="D33" s="74" t="s">
        <v>37</v>
      </c>
      <c r="E33" s="74" t="s">
        <v>120</v>
      </c>
      <c r="F33" s="79">
        <v>3.3333056129948102E-4</v>
      </c>
      <c r="G33" s="79">
        <v>6.6818175580572904E-5</v>
      </c>
      <c r="H33" s="79">
        <v>1.63513552753543E-4</v>
      </c>
      <c r="I33" s="79">
        <v>-2.6629251514838399E-6</v>
      </c>
      <c r="J33" s="79">
        <v>2.5800669095241E-4</v>
      </c>
      <c r="K33" s="79">
        <v>-3.78657623940618E-3</v>
      </c>
      <c r="L33" s="79">
        <v>5.6640087785261905E-4</v>
      </c>
      <c r="M33" s="79">
        <v>8.2823770628765604E-3</v>
      </c>
      <c r="N33" s="79">
        <v>1.6810487020046301E-5</v>
      </c>
      <c r="O33" s="79">
        <v>1.1373634545671599E-3</v>
      </c>
      <c r="P33" s="79">
        <v>1.9840999084275099E-3</v>
      </c>
      <c r="Q33" s="79">
        <v>1.7383286454602302E-2</v>
      </c>
      <c r="R33" s="79">
        <v>4.3493612351331703E-3</v>
      </c>
      <c r="S33" s="79">
        <v>1.6258728894919601E-4</v>
      </c>
      <c r="T33" s="79">
        <v>1.0250173933191301E-4</v>
      </c>
      <c r="U33" s="71"/>
      <c r="V33" s="72" t="str">
        <f t="shared" si="2"/>
        <v>불검출</v>
      </c>
      <c r="W33" s="78" t="str">
        <f t="shared" si="3"/>
        <v>불검출</v>
      </c>
      <c r="X33" s="78" t="str">
        <f t="shared" si="4"/>
        <v>불검출</v>
      </c>
      <c r="Y33" s="78" t="str">
        <f t="shared" si="5"/>
        <v>불검출</v>
      </c>
      <c r="Z33" s="78" t="str">
        <f t="shared" si="6"/>
        <v>불검출</v>
      </c>
      <c r="AA33" s="78" t="str">
        <f t="shared" si="7"/>
        <v>불검출</v>
      </c>
      <c r="AB33" s="78" t="str">
        <f t="shared" si="8"/>
        <v>불검출</v>
      </c>
      <c r="AC33" s="78">
        <f t="shared" si="9"/>
        <v>8.2000000000000007E-3</v>
      </c>
      <c r="AD33" s="78" t="str">
        <f t="shared" si="10"/>
        <v>불검출</v>
      </c>
      <c r="AE33" s="81" t="str">
        <f t="shared" si="11"/>
        <v>불검출</v>
      </c>
      <c r="AF33" s="78" t="str">
        <f t="shared" si="12"/>
        <v>불검출</v>
      </c>
      <c r="AG33" s="78">
        <f t="shared" si="13"/>
        <v>1.7299999999999999E-2</v>
      </c>
      <c r="AH33" s="78">
        <f t="shared" si="14"/>
        <v>4.3400000000000001E-3</v>
      </c>
      <c r="AI33" s="78" t="str">
        <f t="shared" si="15"/>
        <v>불검출</v>
      </c>
      <c r="AJ33" s="73">
        <f t="shared" si="16"/>
        <v>1E-4</v>
      </c>
    </row>
    <row r="34" spans="1:36" s="75" customFormat="1" ht="15" customHeight="1" x14ac:dyDescent="0.3">
      <c r="A34" s="70">
        <v>26</v>
      </c>
      <c r="B34" s="74" t="s">
        <v>87</v>
      </c>
      <c r="C34" s="74" t="s">
        <v>88</v>
      </c>
      <c r="D34" s="74" t="s">
        <v>37</v>
      </c>
      <c r="E34" s="74" t="s">
        <v>120</v>
      </c>
      <c r="F34" s="79">
        <v>1.45471976246219E-4</v>
      </c>
      <c r="G34" s="79">
        <v>1.41483381326387E-3</v>
      </c>
      <c r="H34" s="79">
        <v>2.5821389652662799E-5</v>
      </c>
      <c r="I34" s="79">
        <v>8.6707668980609093E-6</v>
      </c>
      <c r="J34" s="79">
        <v>1.3907825453222299E-4</v>
      </c>
      <c r="K34" s="79">
        <v>-5.19670294069204E-3</v>
      </c>
      <c r="L34" s="79">
        <v>4.8721834551391802E-4</v>
      </c>
      <c r="M34" s="79">
        <v>1.5063037199805E-3</v>
      </c>
      <c r="N34" s="79">
        <v>2.5623761015853601E-5</v>
      </c>
      <c r="O34" s="79">
        <v>6.7980600653257103E-2</v>
      </c>
      <c r="P34" s="79">
        <v>6.64515399084407E-3</v>
      </c>
      <c r="Q34" s="79">
        <v>1.09010633025045E-2</v>
      </c>
      <c r="R34" s="79">
        <v>2.1541386528426501E-3</v>
      </c>
      <c r="S34" s="79">
        <v>1.06432755419817E-2</v>
      </c>
      <c r="T34" s="79">
        <v>1.44093710177853E-3</v>
      </c>
      <c r="U34" s="71"/>
      <c r="V34" s="72" t="str">
        <f t="shared" si="2"/>
        <v>불검출</v>
      </c>
      <c r="W34" s="78" t="str">
        <f t="shared" si="3"/>
        <v>불검출</v>
      </c>
      <c r="X34" s="78" t="str">
        <f t="shared" si="4"/>
        <v>불검출</v>
      </c>
      <c r="Y34" s="78" t="str">
        <f t="shared" si="5"/>
        <v>불검출</v>
      </c>
      <c r="Z34" s="78" t="str">
        <f t="shared" si="6"/>
        <v>불검출</v>
      </c>
      <c r="AA34" s="78" t="str">
        <f t="shared" si="7"/>
        <v>불검출</v>
      </c>
      <c r="AB34" s="78" t="str">
        <f t="shared" si="8"/>
        <v>불검출</v>
      </c>
      <c r="AC34" s="78" t="str">
        <f t="shared" si="9"/>
        <v>불검출</v>
      </c>
      <c r="AD34" s="78" t="str">
        <f t="shared" si="10"/>
        <v>불검출</v>
      </c>
      <c r="AE34" s="81">
        <f t="shared" si="11"/>
        <v>6.7000000000000004E-2</v>
      </c>
      <c r="AF34" s="78" t="str">
        <f t="shared" si="12"/>
        <v>불검출</v>
      </c>
      <c r="AG34" s="78">
        <f t="shared" si="13"/>
        <v>1.09E-2</v>
      </c>
      <c r="AH34" s="78">
        <f t="shared" si="14"/>
        <v>2.15E-3</v>
      </c>
      <c r="AI34" s="78">
        <f t="shared" si="15"/>
        <v>1.064E-2</v>
      </c>
      <c r="AJ34" s="73">
        <f t="shared" si="16"/>
        <v>1.4400000000000001E-3</v>
      </c>
    </row>
    <row r="35" spans="1:36" s="75" customFormat="1" ht="15" customHeight="1" x14ac:dyDescent="0.3">
      <c r="A35" s="70">
        <v>27</v>
      </c>
      <c r="B35" s="74" t="s">
        <v>89</v>
      </c>
      <c r="C35" s="74" t="s">
        <v>90</v>
      </c>
      <c r="D35" s="74" t="s">
        <v>37</v>
      </c>
      <c r="E35" s="74" t="s">
        <v>120</v>
      </c>
      <c r="F35" s="79">
        <v>-1.7660436682913801E-6</v>
      </c>
      <c r="G35" s="79">
        <v>1.24270168861215E-4</v>
      </c>
      <c r="H35" s="79">
        <v>9.2212434913864095E-5</v>
      </c>
      <c r="I35" s="79">
        <v>6.7872263885409902E-6</v>
      </c>
      <c r="J35" s="79">
        <v>5.8060220396867501E-4</v>
      </c>
      <c r="K35" s="79">
        <v>-6.2271870598520698E-3</v>
      </c>
      <c r="L35" s="79">
        <v>2.5152681133606899E-3</v>
      </c>
      <c r="M35" s="79">
        <v>1.5951762283021199E-4</v>
      </c>
      <c r="N35" s="79">
        <v>9.6585846640406207E-6</v>
      </c>
      <c r="O35" s="79">
        <v>-5.2682339006427498E-4</v>
      </c>
      <c r="P35" s="79">
        <v>1.9394160590013199E-3</v>
      </c>
      <c r="Q35" s="79">
        <v>7.7738093916720704E-4</v>
      </c>
      <c r="R35" s="79">
        <v>1.6411568959007301E-3</v>
      </c>
      <c r="S35" s="79">
        <v>3.63125851738874E-3</v>
      </c>
      <c r="T35" s="79">
        <v>4.3883477098963198E-4</v>
      </c>
      <c r="U35" s="71"/>
      <c r="V35" s="72" t="str">
        <f t="shared" si="2"/>
        <v>불검출</v>
      </c>
      <c r="W35" s="78" t="str">
        <f t="shared" si="3"/>
        <v>불검출</v>
      </c>
      <c r="X35" s="78" t="str">
        <f t="shared" si="4"/>
        <v>불검출</v>
      </c>
      <c r="Y35" s="78" t="str">
        <f t="shared" si="5"/>
        <v>불검출</v>
      </c>
      <c r="Z35" s="78" t="str">
        <f t="shared" si="6"/>
        <v>불검출</v>
      </c>
      <c r="AA35" s="78" t="str">
        <f t="shared" si="7"/>
        <v>불검출</v>
      </c>
      <c r="AB35" s="78" t="str">
        <f t="shared" si="8"/>
        <v>불검출</v>
      </c>
      <c r="AC35" s="78" t="str">
        <f t="shared" si="9"/>
        <v>불검출</v>
      </c>
      <c r="AD35" s="78" t="str">
        <f t="shared" si="10"/>
        <v>불검출</v>
      </c>
      <c r="AE35" s="81" t="str">
        <f t="shared" si="11"/>
        <v>불검출</v>
      </c>
      <c r="AF35" s="78" t="str">
        <f t="shared" si="12"/>
        <v>불검출</v>
      </c>
      <c r="AG35" s="78" t="str">
        <f t="shared" si="13"/>
        <v>불검출</v>
      </c>
      <c r="AH35" s="78">
        <f t="shared" si="14"/>
        <v>1.64E-3</v>
      </c>
      <c r="AI35" s="78">
        <f t="shared" si="15"/>
        <v>3.63E-3</v>
      </c>
      <c r="AJ35" s="73">
        <f t="shared" si="16"/>
        <v>4.2999999999999999E-4</v>
      </c>
    </row>
    <row r="36" spans="1:36" s="75" customFormat="1" ht="15" customHeight="1" x14ac:dyDescent="0.3">
      <c r="A36" s="70">
        <v>28</v>
      </c>
      <c r="B36" s="74" t="s">
        <v>91</v>
      </c>
      <c r="C36" s="74" t="s">
        <v>92</v>
      </c>
      <c r="D36" s="74" t="s">
        <v>37</v>
      </c>
      <c r="E36" s="74" t="s">
        <v>120</v>
      </c>
      <c r="F36" s="79">
        <v>-8.3902710226209199E-7</v>
      </c>
      <c r="G36" s="79">
        <v>1.11654346365984E-4</v>
      </c>
      <c r="H36" s="79">
        <v>9.0240954424940898E-5</v>
      </c>
      <c r="I36" s="79">
        <v>4.38409098474522E-6</v>
      </c>
      <c r="J36" s="79">
        <v>1.0038244772976801E-3</v>
      </c>
      <c r="K36" s="79">
        <v>-6.2772512860198703E-3</v>
      </c>
      <c r="L36" s="79">
        <v>1.09345116736018E-3</v>
      </c>
      <c r="M36" s="79">
        <v>1.10898756086254E-4</v>
      </c>
      <c r="N36" s="79">
        <v>8.0513576622940107E-6</v>
      </c>
      <c r="O36" s="79">
        <v>-3.2726432964868499E-4</v>
      </c>
      <c r="P36" s="79">
        <v>1.72719386055363E-3</v>
      </c>
      <c r="Q36" s="79">
        <v>-9.6320035137199399E-4</v>
      </c>
      <c r="R36" s="79">
        <v>6.2532788004416499E-4</v>
      </c>
      <c r="S36" s="79">
        <v>3.3922575217302602E-3</v>
      </c>
      <c r="T36" s="79">
        <v>6.4992917914657902E-5</v>
      </c>
      <c r="U36" s="71"/>
      <c r="V36" s="72" t="str">
        <f t="shared" si="2"/>
        <v>불검출</v>
      </c>
      <c r="W36" s="78" t="str">
        <f t="shared" si="3"/>
        <v>불검출</v>
      </c>
      <c r="X36" s="78" t="str">
        <f t="shared" si="4"/>
        <v>불검출</v>
      </c>
      <c r="Y36" s="78" t="str">
        <f t="shared" si="5"/>
        <v>불검출</v>
      </c>
      <c r="Z36" s="78" t="str">
        <f t="shared" si="6"/>
        <v>불검출</v>
      </c>
      <c r="AA36" s="78" t="str">
        <f t="shared" si="7"/>
        <v>불검출</v>
      </c>
      <c r="AB36" s="78" t="str">
        <f t="shared" si="8"/>
        <v>불검출</v>
      </c>
      <c r="AC36" s="78" t="str">
        <f t="shared" si="9"/>
        <v>불검출</v>
      </c>
      <c r="AD36" s="78" t="str">
        <f t="shared" si="10"/>
        <v>불검출</v>
      </c>
      <c r="AE36" s="81" t="str">
        <f t="shared" si="11"/>
        <v>불검출</v>
      </c>
      <c r="AF36" s="78" t="str">
        <f t="shared" si="12"/>
        <v>불검출</v>
      </c>
      <c r="AG36" s="78" t="str">
        <f t="shared" si="13"/>
        <v>불검출</v>
      </c>
      <c r="AH36" s="78">
        <f t="shared" si="14"/>
        <v>6.2E-4</v>
      </c>
      <c r="AI36" s="78">
        <f t="shared" si="15"/>
        <v>3.3899999999999998E-3</v>
      </c>
      <c r="AJ36" s="73">
        <f t="shared" si="16"/>
        <v>6.0000000000000002E-5</v>
      </c>
    </row>
    <row r="37" spans="1:36" s="75" customFormat="1" ht="15" customHeight="1" x14ac:dyDescent="0.3">
      <c r="A37" s="70">
        <v>29</v>
      </c>
      <c r="B37" s="74" t="s">
        <v>93</v>
      </c>
      <c r="C37" s="74" t="s">
        <v>94</v>
      </c>
      <c r="D37" s="74" t="s">
        <v>37</v>
      </c>
      <c r="E37" s="74" t="s">
        <v>120</v>
      </c>
      <c r="F37" s="79">
        <v>3.0529903900235699E-5</v>
      </c>
      <c r="G37" s="79">
        <v>7.6017259036197798E-4</v>
      </c>
      <c r="H37" s="79">
        <v>6.7148001217957201E-3</v>
      </c>
      <c r="I37" s="79">
        <v>5.5207005321696503E-7</v>
      </c>
      <c r="J37" s="79">
        <v>2.1689137553882901E-5</v>
      </c>
      <c r="K37" s="79">
        <v>-1.4453159372487599E-3</v>
      </c>
      <c r="L37" s="79">
        <v>1.23578586300388E-2</v>
      </c>
      <c r="M37" s="79">
        <v>6.7474365650258699E-4</v>
      </c>
      <c r="N37" s="79">
        <v>7.5360211092575302E-7</v>
      </c>
      <c r="O37" s="79">
        <v>-9.1274845822540403E-4</v>
      </c>
      <c r="P37" s="79">
        <v>5.1235197204961898E-2</v>
      </c>
      <c r="Q37" s="79">
        <v>-1.7107398910580099E-3</v>
      </c>
      <c r="R37" s="79">
        <v>2.3108686867588601E-6</v>
      </c>
      <c r="S37" s="79">
        <v>5.7305611457150498E-5</v>
      </c>
      <c r="T37" s="79">
        <v>4.4077738064628001E-4</v>
      </c>
      <c r="U37" s="71"/>
      <c r="V37" s="72" t="str">
        <f t="shared" si="2"/>
        <v>불검출</v>
      </c>
      <c r="W37" s="78" t="str">
        <f t="shared" si="3"/>
        <v>불검출</v>
      </c>
      <c r="X37" s="78">
        <f t="shared" si="4"/>
        <v>6.7000000000000002E-3</v>
      </c>
      <c r="Y37" s="78" t="str">
        <f t="shared" si="5"/>
        <v>불검출</v>
      </c>
      <c r="Z37" s="78" t="str">
        <f t="shared" si="6"/>
        <v>불검출</v>
      </c>
      <c r="AA37" s="78" t="str">
        <f t="shared" si="7"/>
        <v>불검출</v>
      </c>
      <c r="AB37" s="78">
        <f t="shared" si="8"/>
        <v>1.23E-2</v>
      </c>
      <c r="AC37" s="78" t="str">
        <f t="shared" si="9"/>
        <v>불검출</v>
      </c>
      <c r="AD37" s="78" t="str">
        <f t="shared" si="10"/>
        <v>불검출</v>
      </c>
      <c r="AE37" s="81" t="str">
        <f t="shared" si="11"/>
        <v>불검출</v>
      </c>
      <c r="AF37" s="78">
        <f t="shared" si="12"/>
        <v>5.0999999999999997E-2</v>
      </c>
      <c r="AG37" s="78" t="str">
        <f t="shared" si="13"/>
        <v>불검출</v>
      </c>
      <c r="AH37" s="78" t="str">
        <f t="shared" si="14"/>
        <v>불검출</v>
      </c>
      <c r="AI37" s="78" t="str">
        <f t="shared" si="15"/>
        <v>불검출</v>
      </c>
      <c r="AJ37" s="73">
        <f t="shared" si="16"/>
        <v>4.4000000000000002E-4</v>
      </c>
    </row>
    <row r="38" spans="1:36" s="75" customFormat="1" ht="15" customHeight="1" x14ac:dyDescent="0.3">
      <c r="A38" s="70">
        <v>30</v>
      </c>
      <c r="B38" s="74" t="s">
        <v>95</v>
      </c>
      <c r="C38" s="74" t="s">
        <v>96</v>
      </c>
      <c r="D38" s="74" t="s">
        <v>37</v>
      </c>
      <c r="E38" s="74" t="s">
        <v>120</v>
      </c>
      <c r="F38" s="79">
        <v>4.6301309730732601E-4</v>
      </c>
      <c r="G38" s="79">
        <v>5.2790533694638795E-4</v>
      </c>
      <c r="H38" s="79">
        <v>1.1738766562280399E-3</v>
      </c>
      <c r="I38" s="79">
        <v>3.24747042880044E-7</v>
      </c>
      <c r="J38" s="79">
        <v>8.4755239884689497E-4</v>
      </c>
      <c r="K38" s="79">
        <v>-2.2192832094324001E-3</v>
      </c>
      <c r="L38" s="79">
        <v>4.2181611238692397E-4</v>
      </c>
      <c r="M38" s="79">
        <v>6.9222955858698801E-4</v>
      </c>
      <c r="N38" s="79">
        <v>6.0788661349462897E-6</v>
      </c>
      <c r="O38" s="79">
        <v>1.41516997887838E-3</v>
      </c>
      <c r="P38" s="79">
        <v>5.3224398885793099E-3</v>
      </c>
      <c r="Q38" s="79">
        <v>-4.2694223480770603E-4</v>
      </c>
      <c r="R38" s="84" t="s">
        <v>124</v>
      </c>
      <c r="S38" s="79">
        <v>6.9308008504279897E-4</v>
      </c>
      <c r="T38" s="79">
        <v>2.2181795055650899E-4</v>
      </c>
      <c r="U38" s="71"/>
      <c r="V38" s="72" t="str">
        <f t="shared" si="2"/>
        <v>불검출</v>
      </c>
      <c r="W38" s="78" t="str">
        <f t="shared" si="3"/>
        <v>불검출</v>
      </c>
      <c r="X38" s="78" t="str">
        <f t="shared" si="4"/>
        <v>불검출</v>
      </c>
      <c r="Y38" s="78" t="str">
        <f t="shared" si="5"/>
        <v>불검출</v>
      </c>
      <c r="Z38" s="78" t="str">
        <f t="shared" si="6"/>
        <v>불검출</v>
      </c>
      <c r="AA38" s="78" t="str">
        <f t="shared" si="7"/>
        <v>불검출</v>
      </c>
      <c r="AB38" s="78" t="str">
        <f t="shared" si="8"/>
        <v>불검출</v>
      </c>
      <c r="AC38" s="78" t="str">
        <f t="shared" si="9"/>
        <v>불검출</v>
      </c>
      <c r="AD38" s="78" t="str">
        <f t="shared" si="10"/>
        <v>불검출</v>
      </c>
      <c r="AE38" s="81" t="str">
        <f t="shared" si="11"/>
        <v>불검출</v>
      </c>
      <c r="AF38" s="78" t="str">
        <f t="shared" si="12"/>
        <v>불검출</v>
      </c>
      <c r="AG38" s="78" t="str">
        <f t="shared" si="13"/>
        <v>불검출</v>
      </c>
      <c r="AH38" s="78">
        <f t="shared" si="14"/>
        <v>0.58928999999999998</v>
      </c>
      <c r="AI38" s="78">
        <f t="shared" si="15"/>
        <v>6.8999999999999997E-4</v>
      </c>
      <c r="AJ38" s="73">
        <f t="shared" si="16"/>
        <v>2.2000000000000001E-4</v>
      </c>
    </row>
    <row r="39" spans="1:36" s="75" customFormat="1" ht="15" customHeight="1" x14ac:dyDescent="0.3">
      <c r="A39" s="70">
        <v>31</v>
      </c>
      <c r="B39" s="74" t="s">
        <v>97</v>
      </c>
      <c r="C39" s="74" t="s">
        <v>98</v>
      </c>
      <c r="D39" s="74" t="s">
        <v>37</v>
      </c>
      <c r="E39" s="74" t="s">
        <v>120</v>
      </c>
      <c r="F39" s="79">
        <v>3.4648307268502198E-5</v>
      </c>
      <c r="G39" s="79">
        <v>6.8832106936393099E-3</v>
      </c>
      <c r="H39" s="79">
        <v>3.8970392201018498E-4</v>
      </c>
      <c r="I39" s="79">
        <v>-1.8835327926315899E-6</v>
      </c>
      <c r="J39" s="79">
        <v>1.0491679272458E-4</v>
      </c>
      <c r="K39" s="79">
        <v>-5.6443446946147797E-3</v>
      </c>
      <c r="L39" s="79">
        <v>1.49782148943341E-4</v>
      </c>
      <c r="M39" s="79">
        <v>3.6397196644157303E-4</v>
      </c>
      <c r="N39" s="79">
        <v>3.4583478123546801E-5</v>
      </c>
      <c r="O39" s="79">
        <v>8.3028747288077498E-4</v>
      </c>
      <c r="P39" s="79">
        <v>-8.4265430224601497E-4</v>
      </c>
      <c r="Q39" s="79">
        <v>-3.2629003774901699E-4</v>
      </c>
      <c r="R39" s="79">
        <v>3.06901240207848E-2</v>
      </c>
      <c r="S39" s="79">
        <v>1.3410938786865599E-2</v>
      </c>
      <c r="T39" s="79">
        <v>1.64593163810297E-3</v>
      </c>
      <c r="U39" s="71"/>
      <c r="V39" s="72" t="str">
        <f t="shared" si="2"/>
        <v>불검출</v>
      </c>
      <c r="W39" s="78">
        <f t="shared" si="3"/>
        <v>6.7999999999999996E-3</v>
      </c>
      <c r="X39" s="78" t="str">
        <f t="shared" si="4"/>
        <v>불검출</v>
      </c>
      <c r="Y39" s="78" t="str">
        <f t="shared" si="5"/>
        <v>불검출</v>
      </c>
      <c r="Z39" s="78" t="str">
        <f t="shared" si="6"/>
        <v>불검출</v>
      </c>
      <c r="AA39" s="78" t="str">
        <f t="shared" si="7"/>
        <v>불검출</v>
      </c>
      <c r="AB39" s="78" t="str">
        <f t="shared" si="8"/>
        <v>불검출</v>
      </c>
      <c r="AC39" s="78" t="str">
        <f t="shared" si="9"/>
        <v>불검출</v>
      </c>
      <c r="AD39" s="78" t="str">
        <f t="shared" si="10"/>
        <v>불검출</v>
      </c>
      <c r="AE39" s="81" t="str">
        <f t="shared" si="11"/>
        <v>불검출</v>
      </c>
      <c r="AF39" s="78" t="str">
        <f t="shared" si="12"/>
        <v>불검출</v>
      </c>
      <c r="AG39" s="78" t="str">
        <f t="shared" si="13"/>
        <v>불검출</v>
      </c>
      <c r="AH39" s="78">
        <f t="shared" si="14"/>
        <v>3.0689999999999999E-2</v>
      </c>
      <c r="AI39" s="78">
        <f t="shared" si="15"/>
        <v>1.341E-2</v>
      </c>
      <c r="AJ39" s="73">
        <f t="shared" si="16"/>
        <v>1.64E-3</v>
      </c>
    </row>
    <row r="40" spans="1:36" s="75" customFormat="1" ht="15" customHeight="1" x14ac:dyDescent="0.3">
      <c r="A40" s="70">
        <v>32</v>
      </c>
      <c r="B40" s="74" t="s">
        <v>99</v>
      </c>
      <c r="C40" s="74" t="s">
        <v>100</v>
      </c>
      <c r="D40" s="74" t="s">
        <v>37</v>
      </c>
      <c r="E40" s="74" t="s">
        <v>120</v>
      </c>
      <c r="F40" s="79">
        <v>1.35798488715923E-4</v>
      </c>
      <c r="G40" s="79">
        <v>5.5034210913519101E-4</v>
      </c>
      <c r="H40" s="79">
        <v>9.3844352189615706E-5</v>
      </c>
      <c r="I40" s="79">
        <v>-4.1892342753102296E-6</v>
      </c>
      <c r="J40" s="79">
        <v>1.01666606109706E-3</v>
      </c>
      <c r="K40" s="79">
        <v>2.0217580078960001E-2</v>
      </c>
      <c r="L40" s="79">
        <v>1.54952911480125E-4</v>
      </c>
      <c r="M40" s="79">
        <v>2.24275576021355E-3</v>
      </c>
      <c r="N40" s="79">
        <v>2.2877278831932698E-6</v>
      </c>
      <c r="O40" s="79">
        <v>3.74936197575272E-2</v>
      </c>
      <c r="P40" s="79">
        <v>-8.0011005037680595E-4</v>
      </c>
      <c r="Q40" s="79">
        <v>1.57489397614488E-2</v>
      </c>
      <c r="R40" s="79">
        <v>2.5557262939450502E-4</v>
      </c>
      <c r="S40" s="79">
        <v>5.19467094590273E-5</v>
      </c>
      <c r="T40" s="79">
        <v>4.7752387212065102E-4</v>
      </c>
      <c r="U40" s="71"/>
      <c r="V40" s="72" t="str">
        <f t="shared" si="2"/>
        <v>불검출</v>
      </c>
      <c r="W40" s="78" t="str">
        <f t="shared" si="3"/>
        <v>불검출</v>
      </c>
      <c r="X40" s="78" t="str">
        <f t="shared" si="4"/>
        <v>불검출</v>
      </c>
      <c r="Y40" s="78" t="str">
        <f t="shared" si="5"/>
        <v>불검출</v>
      </c>
      <c r="Z40" s="78" t="str">
        <f t="shared" si="6"/>
        <v>불검출</v>
      </c>
      <c r="AA40" s="78" t="str">
        <f t="shared" si="7"/>
        <v>불검출</v>
      </c>
      <c r="AB40" s="78" t="str">
        <f t="shared" si="8"/>
        <v>불검출</v>
      </c>
      <c r="AC40" s="78" t="str">
        <f t="shared" si="9"/>
        <v>불검출</v>
      </c>
      <c r="AD40" s="78" t="str">
        <f t="shared" si="10"/>
        <v>불검출</v>
      </c>
      <c r="AE40" s="81">
        <f t="shared" si="11"/>
        <v>3.6999999999999998E-2</v>
      </c>
      <c r="AF40" s="78" t="str">
        <f t="shared" si="12"/>
        <v>불검출</v>
      </c>
      <c r="AG40" s="78">
        <f t="shared" si="13"/>
        <v>1.5699999999999999E-2</v>
      </c>
      <c r="AH40" s="78">
        <f t="shared" si="14"/>
        <v>2.5000000000000001E-4</v>
      </c>
      <c r="AI40" s="78" t="str">
        <f t="shared" si="15"/>
        <v>불검출</v>
      </c>
      <c r="AJ40" s="73">
        <f t="shared" si="16"/>
        <v>4.6999999999999999E-4</v>
      </c>
    </row>
    <row r="41" spans="1:36" s="75" customFormat="1" ht="15" customHeight="1" x14ac:dyDescent="0.3">
      <c r="A41" s="70">
        <v>33</v>
      </c>
      <c r="B41" s="74" t="s">
        <v>101</v>
      </c>
      <c r="C41" s="74" t="s">
        <v>102</v>
      </c>
      <c r="D41" s="74" t="s">
        <v>37</v>
      </c>
      <c r="E41" s="74" t="s">
        <v>120</v>
      </c>
      <c r="F41" s="79">
        <v>2.7314460123504798E-4</v>
      </c>
      <c r="G41" s="79">
        <v>1.31157107412005E-3</v>
      </c>
      <c r="H41" s="79">
        <v>1.8579811485374799E-3</v>
      </c>
      <c r="I41" s="79">
        <v>3.2474584564380003E-8</v>
      </c>
      <c r="J41" s="79">
        <v>4.6857849709622799E-4</v>
      </c>
      <c r="K41" s="79">
        <v>-1.1633284653948699E-3</v>
      </c>
      <c r="L41" s="79">
        <v>2.1820510149443599E-3</v>
      </c>
      <c r="M41" s="79">
        <v>1.8884079867958199E-3</v>
      </c>
      <c r="N41" s="79">
        <v>2.6661994512408499E-5</v>
      </c>
      <c r="O41" s="79">
        <v>8.8014618309085208E-3</v>
      </c>
      <c r="P41" s="79">
        <v>0.14654659066416301</v>
      </c>
      <c r="Q41" s="79">
        <v>1.08068911687818E-2</v>
      </c>
      <c r="R41" s="79">
        <v>4.0086680489055799E-5</v>
      </c>
      <c r="S41" s="79">
        <v>3.6797065593825598E-4</v>
      </c>
      <c r="T41" s="79">
        <v>9.6174289791537695E-4</v>
      </c>
      <c r="U41" s="71"/>
      <c r="V41" s="72" t="str">
        <f t="shared" si="2"/>
        <v>불검출</v>
      </c>
      <c r="W41" s="78" t="str">
        <f t="shared" si="3"/>
        <v>불검출</v>
      </c>
      <c r="X41" s="78" t="str">
        <f t="shared" si="4"/>
        <v>불검출</v>
      </c>
      <c r="Y41" s="78" t="str">
        <f t="shared" si="5"/>
        <v>불검출</v>
      </c>
      <c r="Z41" s="78" t="str">
        <f t="shared" si="6"/>
        <v>불검출</v>
      </c>
      <c r="AA41" s="78" t="str">
        <f t="shared" si="7"/>
        <v>불검출</v>
      </c>
      <c r="AB41" s="78" t="str">
        <f t="shared" si="8"/>
        <v>불검출</v>
      </c>
      <c r="AC41" s="78" t="str">
        <f t="shared" si="9"/>
        <v>불검출</v>
      </c>
      <c r="AD41" s="78" t="str">
        <f t="shared" si="10"/>
        <v>불검출</v>
      </c>
      <c r="AE41" s="81" t="str">
        <f t="shared" si="11"/>
        <v>불검출</v>
      </c>
      <c r="AF41" s="78">
        <f t="shared" si="12"/>
        <v>0.14599999999999999</v>
      </c>
      <c r="AG41" s="78">
        <f t="shared" si="13"/>
        <v>1.0800000000000001E-2</v>
      </c>
      <c r="AH41" s="78" t="str">
        <f t="shared" si="14"/>
        <v>불검출</v>
      </c>
      <c r="AI41" s="78">
        <f t="shared" si="15"/>
        <v>3.6000000000000002E-4</v>
      </c>
      <c r="AJ41" s="73">
        <f t="shared" si="16"/>
        <v>9.6000000000000002E-4</v>
      </c>
    </row>
    <row r="42" spans="1:36" s="75" customFormat="1" ht="15" customHeight="1" x14ac:dyDescent="0.3">
      <c r="A42" s="70">
        <v>34</v>
      </c>
      <c r="B42" s="74" t="s">
        <v>103</v>
      </c>
      <c r="C42" s="74" t="s">
        <v>104</v>
      </c>
      <c r="D42" s="74" t="s">
        <v>37</v>
      </c>
      <c r="E42" s="74" t="s">
        <v>120</v>
      </c>
      <c r="F42" s="79">
        <v>5.55227463680681E-5</v>
      </c>
      <c r="G42" s="79">
        <v>2.20677837385305E-3</v>
      </c>
      <c r="H42" s="84">
        <v>1.4951881710051801E-2</v>
      </c>
      <c r="I42" s="79">
        <v>6.4949220655378401E-8</v>
      </c>
      <c r="J42" s="79">
        <v>5.5413871521896798E-5</v>
      </c>
      <c r="K42" s="79">
        <v>1.8854892252134401E-3</v>
      </c>
      <c r="L42" s="79">
        <v>4.8911416474991401E-3</v>
      </c>
      <c r="M42" s="79">
        <v>7.5976004665632101E-4</v>
      </c>
      <c r="N42" s="79">
        <v>2.1531549595813799E-6</v>
      </c>
      <c r="O42" s="79">
        <v>-7.2202474079151899E-4</v>
      </c>
      <c r="P42" s="79">
        <v>7.85511292477587E-2</v>
      </c>
      <c r="Q42" s="79">
        <v>-4.5857385903002798E-4</v>
      </c>
      <c r="R42" s="79">
        <v>1.71376994077296E-5</v>
      </c>
      <c r="S42" s="79">
        <v>1.0147657275161E-4</v>
      </c>
      <c r="T42" s="79">
        <v>4.5212073597166E-4</v>
      </c>
      <c r="U42" s="71"/>
      <c r="V42" s="72" t="str">
        <f t="shared" si="2"/>
        <v>불검출</v>
      </c>
      <c r="W42" s="78" t="str">
        <f t="shared" si="3"/>
        <v>불검출</v>
      </c>
      <c r="X42" s="78">
        <f t="shared" si="4"/>
        <v>1.49E-2</v>
      </c>
      <c r="Y42" s="78" t="str">
        <f t="shared" si="5"/>
        <v>불검출</v>
      </c>
      <c r="Z42" s="78" t="str">
        <f t="shared" si="6"/>
        <v>불검출</v>
      </c>
      <c r="AA42" s="78" t="str">
        <f t="shared" si="7"/>
        <v>불검출</v>
      </c>
      <c r="AB42" s="78">
        <f t="shared" si="8"/>
        <v>4.7999999999999996E-3</v>
      </c>
      <c r="AC42" s="78" t="str">
        <f t="shared" si="9"/>
        <v>불검출</v>
      </c>
      <c r="AD42" s="78" t="str">
        <f t="shared" si="10"/>
        <v>불검출</v>
      </c>
      <c r="AE42" s="81" t="str">
        <f t="shared" si="11"/>
        <v>불검출</v>
      </c>
      <c r="AF42" s="78">
        <f t="shared" si="12"/>
        <v>7.8E-2</v>
      </c>
      <c r="AG42" s="78" t="str">
        <f t="shared" si="13"/>
        <v>불검출</v>
      </c>
      <c r="AH42" s="78" t="str">
        <f t="shared" si="14"/>
        <v>불검출</v>
      </c>
      <c r="AI42" s="78" t="str">
        <f t="shared" si="15"/>
        <v>불검출</v>
      </c>
      <c r="AJ42" s="73">
        <f t="shared" si="16"/>
        <v>4.4999999999999999E-4</v>
      </c>
    </row>
    <row r="43" spans="1:36" s="75" customFormat="1" ht="15" customHeight="1" x14ac:dyDescent="0.3">
      <c r="A43" s="70">
        <v>35</v>
      </c>
      <c r="B43" s="74" t="s">
        <v>105</v>
      </c>
      <c r="C43" s="74" t="s">
        <v>106</v>
      </c>
      <c r="D43" s="74" t="s">
        <v>37</v>
      </c>
      <c r="E43" s="74" t="s">
        <v>120</v>
      </c>
      <c r="F43" s="79">
        <v>1.88511497491398E-4</v>
      </c>
      <c r="G43" s="79">
        <v>8.9288366199285595E-4</v>
      </c>
      <c r="H43" s="79">
        <v>7.7450754760624799E-3</v>
      </c>
      <c r="I43" s="79">
        <v>-8.4434262064786705E-7</v>
      </c>
      <c r="J43" s="79">
        <v>5.7164874992532799E-5</v>
      </c>
      <c r="K43" s="79">
        <v>2.8260828392288398E-3</v>
      </c>
      <c r="L43" s="79">
        <v>1.4714815986674E-2</v>
      </c>
      <c r="M43" s="79">
        <v>9.7840724363779607E-4</v>
      </c>
      <c r="N43" s="79">
        <v>1.09195481478024E-6</v>
      </c>
      <c r="O43" s="79">
        <v>-8.2887787987633596E-4</v>
      </c>
      <c r="P43" s="79">
        <v>4.7145705458912397E-2</v>
      </c>
      <c r="Q43" s="79">
        <v>-1.2354287661487399E-3</v>
      </c>
      <c r="R43" s="79">
        <v>6.2711780466119004E-6</v>
      </c>
      <c r="S43" s="79">
        <v>6.5315638093428296E-5</v>
      </c>
      <c r="T43" s="79">
        <v>4.9950312522754805E-4</v>
      </c>
      <c r="U43" s="71"/>
      <c r="V43" s="72" t="str">
        <f t="shared" si="2"/>
        <v>불검출</v>
      </c>
      <c r="W43" s="78" t="str">
        <f t="shared" si="3"/>
        <v>불검출</v>
      </c>
      <c r="X43" s="78">
        <f t="shared" si="4"/>
        <v>7.7000000000000002E-3</v>
      </c>
      <c r="Y43" s="78" t="str">
        <f t="shared" si="5"/>
        <v>불검출</v>
      </c>
      <c r="Z43" s="78" t="str">
        <f t="shared" si="6"/>
        <v>불검출</v>
      </c>
      <c r="AA43" s="78" t="str">
        <f t="shared" si="7"/>
        <v>불검출</v>
      </c>
      <c r="AB43" s="78">
        <f t="shared" si="8"/>
        <v>1.47E-2</v>
      </c>
      <c r="AC43" s="78" t="str">
        <f t="shared" si="9"/>
        <v>불검출</v>
      </c>
      <c r="AD43" s="78" t="str">
        <f t="shared" si="10"/>
        <v>불검출</v>
      </c>
      <c r="AE43" s="81" t="str">
        <f t="shared" si="11"/>
        <v>불검출</v>
      </c>
      <c r="AF43" s="78">
        <f t="shared" si="12"/>
        <v>4.7E-2</v>
      </c>
      <c r="AG43" s="78" t="str">
        <f t="shared" si="13"/>
        <v>불검출</v>
      </c>
      <c r="AH43" s="78" t="str">
        <f t="shared" si="14"/>
        <v>불검출</v>
      </c>
      <c r="AI43" s="78" t="str">
        <f t="shared" si="15"/>
        <v>불검출</v>
      </c>
      <c r="AJ43" s="73">
        <f t="shared" si="16"/>
        <v>4.8999999999999998E-4</v>
      </c>
    </row>
    <row r="44" spans="1:36" s="75" customFormat="1" ht="15" customHeight="1" x14ac:dyDescent="0.3">
      <c r="A44" s="70">
        <v>36</v>
      </c>
      <c r="B44" s="74" t="s">
        <v>107</v>
      </c>
      <c r="C44" s="74" t="s">
        <v>108</v>
      </c>
      <c r="D44" s="74" t="s">
        <v>37</v>
      </c>
      <c r="E44" s="74" t="s">
        <v>120</v>
      </c>
      <c r="F44" s="79">
        <v>3.90063555746988E-5</v>
      </c>
      <c r="G44" s="79">
        <v>2.27282496540265E-4</v>
      </c>
      <c r="H44" s="79">
        <v>2.3133490955554699E-4</v>
      </c>
      <c r="I44" s="79">
        <v>-4.3516074466730796E-6</v>
      </c>
      <c r="J44" s="79">
        <v>1.3569562523383199E-4</v>
      </c>
      <c r="K44" s="79">
        <v>-3.7441334647710101E-3</v>
      </c>
      <c r="L44" s="79">
        <v>-2.2260617713576101E-5</v>
      </c>
      <c r="M44" s="79">
        <v>1.92175706593205E-4</v>
      </c>
      <c r="N44" s="79">
        <v>1.38032401497911E-6</v>
      </c>
      <c r="O44" s="79">
        <v>2.1603271316263102E-3</v>
      </c>
      <c r="P44" s="79">
        <v>2.0438328078563502E-3</v>
      </c>
      <c r="Q44" s="79">
        <v>-8.6546367566605795E-4</v>
      </c>
      <c r="R44" s="79">
        <v>2.99072573255977E-6</v>
      </c>
      <c r="S44" s="79">
        <v>1.19403188568306E-4</v>
      </c>
      <c r="T44" s="79">
        <v>2.04015921060573E-5</v>
      </c>
      <c r="U44" s="71"/>
      <c r="V44" s="72" t="str">
        <f t="shared" si="2"/>
        <v>불검출</v>
      </c>
      <c r="W44" s="78" t="str">
        <f t="shared" si="3"/>
        <v>불검출</v>
      </c>
      <c r="X44" s="78" t="str">
        <f t="shared" si="4"/>
        <v>불검출</v>
      </c>
      <c r="Y44" s="78" t="str">
        <f t="shared" si="5"/>
        <v>불검출</v>
      </c>
      <c r="Z44" s="78" t="str">
        <f t="shared" si="6"/>
        <v>불검출</v>
      </c>
      <c r="AA44" s="78" t="str">
        <f t="shared" si="7"/>
        <v>불검출</v>
      </c>
      <c r="AB44" s="78" t="str">
        <f t="shared" si="8"/>
        <v>불검출</v>
      </c>
      <c r="AC44" s="78" t="str">
        <f t="shared" si="9"/>
        <v>불검출</v>
      </c>
      <c r="AD44" s="78" t="str">
        <f t="shared" si="10"/>
        <v>불검출</v>
      </c>
      <c r="AE44" s="81" t="str">
        <f t="shared" si="11"/>
        <v>불검출</v>
      </c>
      <c r="AF44" s="78" t="str">
        <f t="shared" si="12"/>
        <v>불검출</v>
      </c>
      <c r="AG44" s="78" t="str">
        <f t="shared" si="13"/>
        <v>불검출</v>
      </c>
      <c r="AH44" s="78" t="str">
        <f t="shared" si="14"/>
        <v>불검출</v>
      </c>
      <c r="AI44" s="78" t="str">
        <f t="shared" si="15"/>
        <v>불검출</v>
      </c>
      <c r="AJ44" s="73" t="str">
        <f t="shared" si="16"/>
        <v>불검출</v>
      </c>
    </row>
    <row r="45" spans="1:36" s="75" customFormat="1" ht="15" customHeight="1" x14ac:dyDescent="0.3">
      <c r="A45" s="70">
        <v>37</v>
      </c>
      <c r="B45" s="74" t="s">
        <v>109</v>
      </c>
      <c r="C45" s="74" t="s">
        <v>110</v>
      </c>
      <c r="D45" s="74" t="s">
        <v>37</v>
      </c>
      <c r="E45" s="74" t="s">
        <v>120</v>
      </c>
      <c r="F45" s="79">
        <v>1.0117639039309101E-3</v>
      </c>
      <c r="G45" s="79">
        <v>-2.3420400789601701E-5</v>
      </c>
      <c r="H45" s="79">
        <v>1.2128198615966801E-5</v>
      </c>
      <c r="I45" s="79">
        <v>-4.22170891746332E-6</v>
      </c>
      <c r="J45" s="79">
        <v>8.3331734985504498E-5</v>
      </c>
      <c r="K45" s="79">
        <v>-3.24681466126379E-3</v>
      </c>
      <c r="L45" s="79">
        <v>6.6703105900731098E-4</v>
      </c>
      <c r="M45" s="79">
        <v>1.6074667411863301E-2</v>
      </c>
      <c r="N45" s="79">
        <v>1.5110515198040799E-6</v>
      </c>
      <c r="O45" s="79">
        <v>3.2884965510725202E-3</v>
      </c>
      <c r="P45" s="79">
        <v>1.2159277483733801E-2</v>
      </c>
      <c r="Q45" s="79">
        <v>1.33129530534706E-2</v>
      </c>
      <c r="R45" s="79">
        <v>3.5760772750436101E-6</v>
      </c>
      <c r="S45" s="79">
        <v>3.2010059433149899E-6</v>
      </c>
      <c r="T45" s="79">
        <v>-4.9981027401036504E-6</v>
      </c>
      <c r="U45" s="71"/>
      <c r="V45" s="72" t="str">
        <f t="shared" si="2"/>
        <v>불검출</v>
      </c>
      <c r="W45" s="78" t="str">
        <f t="shared" si="3"/>
        <v>불검출</v>
      </c>
      <c r="X45" s="78" t="str">
        <f t="shared" si="4"/>
        <v>불검출</v>
      </c>
      <c r="Y45" s="78" t="str">
        <f t="shared" si="5"/>
        <v>불검출</v>
      </c>
      <c r="Z45" s="78" t="str">
        <f t="shared" si="6"/>
        <v>불검출</v>
      </c>
      <c r="AA45" s="78" t="str">
        <f t="shared" si="7"/>
        <v>불검출</v>
      </c>
      <c r="AB45" s="78" t="str">
        <f t="shared" si="8"/>
        <v>불검출</v>
      </c>
      <c r="AC45" s="78">
        <f t="shared" si="9"/>
        <v>1.6E-2</v>
      </c>
      <c r="AD45" s="78" t="str">
        <f t="shared" si="10"/>
        <v>불검출</v>
      </c>
      <c r="AE45" s="81" t="str">
        <f t="shared" si="11"/>
        <v>불검출</v>
      </c>
      <c r="AF45" s="78">
        <f t="shared" si="12"/>
        <v>1.2E-2</v>
      </c>
      <c r="AG45" s="78">
        <f t="shared" si="13"/>
        <v>1.3299999999999999E-2</v>
      </c>
      <c r="AH45" s="78" t="str">
        <f t="shared" si="14"/>
        <v>불검출</v>
      </c>
      <c r="AI45" s="78" t="str">
        <f t="shared" si="15"/>
        <v>불검출</v>
      </c>
      <c r="AJ45" s="73" t="str">
        <f t="shared" si="16"/>
        <v>불검출</v>
      </c>
    </row>
    <row r="46" spans="1:36" s="75" customFormat="1" ht="15" customHeight="1" x14ac:dyDescent="0.3">
      <c r="A46" s="70">
        <v>38</v>
      </c>
      <c r="B46" s="74" t="s">
        <v>111</v>
      </c>
      <c r="C46" s="74" t="s">
        <v>112</v>
      </c>
      <c r="D46" s="74" t="s">
        <v>37</v>
      </c>
      <c r="E46" s="74" t="s">
        <v>120</v>
      </c>
      <c r="F46" s="79">
        <v>6.8265627493110801E-5</v>
      </c>
      <c r="G46" s="79">
        <v>2.74986423499463E-3</v>
      </c>
      <c r="H46" s="79">
        <v>9.0603892829089995E-4</v>
      </c>
      <c r="I46" s="79">
        <v>4.9361624125127098E-6</v>
      </c>
      <c r="J46" s="79">
        <v>1.0081706660659E-4</v>
      </c>
      <c r="K46" s="79">
        <v>-4.20584603039517E-3</v>
      </c>
      <c r="L46" s="79">
        <v>1.9100913853278899E-4</v>
      </c>
      <c r="M46" s="79">
        <v>1.10124231293621E-3</v>
      </c>
      <c r="N46" s="79">
        <v>4.7485007106925602E-6</v>
      </c>
      <c r="O46" s="79">
        <v>8.5655720088059501E-4</v>
      </c>
      <c r="P46" s="79">
        <v>2.09101542760129E-2</v>
      </c>
      <c r="Q46" s="79">
        <v>5.89421391518208E-3</v>
      </c>
      <c r="R46" s="79">
        <v>5.5917899251432303E-4</v>
      </c>
      <c r="S46" s="79">
        <v>5.5388940813514505E-4</v>
      </c>
      <c r="T46" s="79">
        <v>3.87865277073985E-4</v>
      </c>
      <c r="U46" s="71"/>
      <c r="V46" s="72" t="str">
        <f t="shared" si="2"/>
        <v>불검출</v>
      </c>
      <c r="W46" s="78" t="str">
        <f t="shared" si="3"/>
        <v>불검출</v>
      </c>
      <c r="X46" s="78" t="str">
        <f t="shared" si="4"/>
        <v>불검출</v>
      </c>
      <c r="Y46" s="78" t="str">
        <f t="shared" si="5"/>
        <v>불검출</v>
      </c>
      <c r="Z46" s="78" t="str">
        <f t="shared" si="6"/>
        <v>불검출</v>
      </c>
      <c r="AA46" s="78" t="str">
        <f t="shared" si="7"/>
        <v>불검출</v>
      </c>
      <c r="AB46" s="78" t="str">
        <f t="shared" si="8"/>
        <v>불검출</v>
      </c>
      <c r="AC46" s="78" t="str">
        <f t="shared" si="9"/>
        <v>불검출</v>
      </c>
      <c r="AD46" s="78" t="str">
        <f t="shared" si="10"/>
        <v>불검출</v>
      </c>
      <c r="AE46" s="81" t="str">
        <f t="shared" si="11"/>
        <v>불검출</v>
      </c>
      <c r="AF46" s="78">
        <f t="shared" si="12"/>
        <v>0.02</v>
      </c>
      <c r="AG46" s="78">
        <f t="shared" si="13"/>
        <v>5.7999999999999996E-3</v>
      </c>
      <c r="AH46" s="78">
        <f t="shared" si="14"/>
        <v>5.5000000000000003E-4</v>
      </c>
      <c r="AI46" s="78">
        <f t="shared" si="15"/>
        <v>5.5000000000000003E-4</v>
      </c>
      <c r="AJ46" s="73">
        <f t="shared" si="16"/>
        <v>3.8000000000000002E-4</v>
      </c>
    </row>
    <row r="47" spans="1:36" s="75" customFormat="1" ht="15" customHeight="1" x14ac:dyDescent="0.3">
      <c r="A47" s="70">
        <v>39</v>
      </c>
      <c r="B47" s="74" t="s">
        <v>113</v>
      </c>
      <c r="C47" s="74" t="s">
        <v>114</v>
      </c>
      <c r="D47" s="74" t="s">
        <v>37</v>
      </c>
      <c r="E47" s="74" t="s">
        <v>120</v>
      </c>
      <c r="F47" s="79">
        <v>4.7539865428081299E-4</v>
      </c>
      <c r="G47" s="79">
        <v>2.6153875815230397E-4</v>
      </c>
      <c r="H47" s="79">
        <v>1.19518667519448E-4</v>
      </c>
      <c r="I47" s="79">
        <v>3.7671009346480999E-5</v>
      </c>
      <c r="J47" s="79">
        <v>5.6516930181541498E-5</v>
      </c>
      <c r="K47" s="79">
        <v>-5.5461931117858502E-3</v>
      </c>
      <c r="L47" s="79">
        <v>9.2815817939664598E-4</v>
      </c>
      <c r="M47" s="79">
        <v>1.99229645279249E-2</v>
      </c>
      <c r="N47" s="79">
        <v>3.50333932192218E-5</v>
      </c>
      <c r="O47" s="79">
        <v>2.36091075574427E-2</v>
      </c>
      <c r="P47" s="79">
        <v>5.9406884344313403E-3</v>
      </c>
      <c r="Q47" s="79">
        <v>8.0302460490951303E-3</v>
      </c>
      <c r="R47" s="79">
        <v>1.4254783066856E-5</v>
      </c>
      <c r="S47" s="79">
        <v>4.7142010452020598E-4</v>
      </c>
      <c r="T47" s="79">
        <v>7.4196693681716404E-5</v>
      </c>
      <c r="U47" s="71"/>
      <c r="V47" s="72" t="str">
        <f t="shared" si="2"/>
        <v>불검출</v>
      </c>
      <c r="W47" s="78" t="str">
        <f t="shared" si="3"/>
        <v>불검출</v>
      </c>
      <c r="X47" s="78" t="str">
        <f t="shared" si="4"/>
        <v>불검출</v>
      </c>
      <c r="Y47" s="78" t="str">
        <f t="shared" si="5"/>
        <v>불검출</v>
      </c>
      <c r="Z47" s="78" t="str">
        <f t="shared" si="6"/>
        <v>불검출</v>
      </c>
      <c r="AA47" s="78" t="str">
        <f t="shared" si="7"/>
        <v>불검출</v>
      </c>
      <c r="AB47" s="78" t="str">
        <f t="shared" si="8"/>
        <v>불검출</v>
      </c>
      <c r="AC47" s="78">
        <f t="shared" si="9"/>
        <v>1.9900000000000001E-2</v>
      </c>
      <c r="AD47" s="78" t="str">
        <f t="shared" si="10"/>
        <v>불검출</v>
      </c>
      <c r="AE47" s="81">
        <f t="shared" si="11"/>
        <v>2.3E-2</v>
      </c>
      <c r="AF47" s="78" t="str">
        <f t="shared" si="12"/>
        <v>불검출</v>
      </c>
      <c r="AG47" s="78">
        <f t="shared" si="13"/>
        <v>8.0000000000000002E-3</v>
      </c>
      <c r="AH47" s="78" t="str">
        <f t="shared" si="14"/>
        <v>불검출</v>
      </c>
      <c r="AI47" s="78">
        <f t="shared" si="15"/>
        <v>4.6999999999999999E-4</v>
      </c>
      <c r="AJ47" s="73">
        <f t="shared" si="16"/>
        <v>6.9999999999999994E-5</v>
      </c>
    </row>
    <row r="48" spans="1:36" s="75" customFormat="1" ht="15" customHeight="1" x14ac:dyDescent="0.3">
      <c r="A48" s="70"/>
      <c r="B48" s="74"/>
      <c r="C48" s="74"/>
      <c r="D48" s="74"/>
      <c r="E48" s="74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0"/>
      <c r="T48" s="80"/>
      <c r="U48" s="71"/>
      <c r="V48" s="72"/>
      <c r="W48" s="78"/>
      <c r="X48" s="78"/>
      <c r="Y48" s="78"/>
      <c r="Z48" s="78"/>
      <c r="AA48" s="78"/>
      <c r="AB48" s="78"/>
      <c r="AC48" s="78"/>
      <c r="AD48" s="78"/>
      <c r="AE48" s="81"/>
      <c r="AF48" s="78"/>
      <c r="AG48" s="78"/>
      <c r="AH48" s="78"/>
      <c r="AI48" s="78"/>
      <c r="AJ48" s="73"/>
    </row>
    <row r="49" spans="1:36" s="75" customFormat="1" ht="15" customHeight="1" x14ac:dyDescent="0.3">
      <c r="A49" s="70"/>
      <c r="B49" s="74"/>
      <c r="C49" s="74"/>
      <c r="D49" s="74"/>
      <c r="E49" s="74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0"/>
      <c r="T49" s="80"/>
      <c r="U49" s="71"/>
      <c r="V49" s="72"/>
      <c r="W49" s="78"/>
      <c r="X49" s="78"/>
      <c r="Y49" s="78"/>
      <c r="Z49" s="78"/>
      <c r="AA49" s="78"/>
      <c r="AB49" s="78"/>
      <c r="AC49" s="78"/>
      <c r="AD49" s="78"/>
      <c r="AE49" s="81"/>
      <c r="AF49" s="78"/>
      <c r="AG49" s="78"/>
      <c r="AH49" s="78"/>
      <c r="AI49" s="78"/>
      <c r="AJ49" s="73"/>
    </row>
    <row r="50" spans="1:36" ht="15" customHeight="1" x14ac:dyDescent="0.3"/>
    <row r="51" spans="1:36" ht="15" customHeight="1" x14ac:dyDescent="0.3"/>
    <row r="52" spans="1:36" ht="15" customHeight="1" x14ac:dyDescent="0.3"/>
    <row r="53" spans="1:36" ht="15" customHeight="1" x14ac:dyDescent="0.3"/>
    <row r="54" spans="1:36" ht="15" customHeight="1" x14ac:dyDescent="0.3"/>
    <row r="55" spans="1:36" ht="15" customHeight="1" x14ac:dyDescent="0.3"/>
    <row r="56" spans="1:36" ht="15" customHeight="1" x14ac:dyDescent="0.3"/>
    <row r="57" spans="1:36" ht="15" customHeight="1" x14ac:dyDescent="0.3"/>
    <row r="58" spans="1:36" ht="15" customHeight="1" x14ac:dyDescent="0.3"/>
    <row r="59" spans="1:36" ht="15" customHeight="1" x14ac:dyDescent="0.3"/>
  </sheetData>
  <autoFilter ref="A7:T49">
    <sortState ref="A8:T39">
      <sortCondition ref="E7"/>
    </sortState>
  </autoFilter>
  <mergeCells count="1">
    <mergeCell ref="A1:D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I50"/>
  <sheetViews>
    <sheetView zoomScaleNormal="100" zoomScaleSheetLayoutView="110" workbookViewId="0">
      <pane ySplit="7" topLeftCell="A8" activePane="bottomLeft" state="frozen"/>
      <selection pane="bottomLeft" activeCell="C29" sqref="C29"/>
    </sheetView>
  </sheetViews>
  <sheetFormatPr defaultColWidth="9" defaultRowHeight="12" x14ac:dyDescent="0.3"/>
  <cols>
    <col min="1" max="1" width="5" style="2" bestFit="1" customWidth="1"/>
    <col min="2" max="2" width="15.375" style="2" customWidth="1"/>
    <col min="3" max="3" width="16.75" style="2" customWidth="1"/>
    <col min="4" max="4" width="18.375" style="2" customWidth="1"/>
    <col min="5" max="5" width="10" style="2" customWidth="1"/>
    <col min="6" max="20" width="7.5" style="2" customWidth="1"/>
    <col min="21" max="21" width="4.5" style="24" customWidth="1"/>
    <col min="22" max="22" width="5.625" style="25" customWidth="1"/>
    <col min="23" max="25" width="5.625" style="4" customWidth="1"/>
    <col min="26" max="26" width="5.625" style="5" customWidth="1"/>
    <col min="27" max="32" width="5.625" style="4" customWidth="1"/>
    <col min="33" max="33" width="6.875" style="4" customWidth="1"/>
    <col min="34" max="35" width="6.375" style="4" customWidth="1"/>
    <col min="36" max="16384" width="9" style="6"/>
  </cols>
  <sheetData>
    <row r="1" spans="1:35" x14ac:dyDescent="0.3">
      <c r="A1" s="88" t="s">
        <v>27</v>
      </c>
      <c r="B1" s="88"/>
      <c r="C1" s="88"/>
      <c r="D1" s="89"/>
      <c r="E1" s="14"/>
      <c r="F1" s="14" t="s">
        <v>0</v>
      </c>
      <c r="G1" s="14" t="s">
        <v>1</v>
      </c>
      <c r="H1" s="14" t="s">
        <v>2</v>
      </c>
      <c r="I1" s="14" t="s">
        <v>3</v>
      </c>
      <c r="J1" s="14" t="s">
        <v>4</v>
      </c>
      <c r="K1" s="14" t="s">
        <v>5</v>
      </c>
      <c r="L1" s="14" t="s">
        <v>6</v>
      </c>
      <c r="M1" s="14" t="s">
        <v>7</v>
      </c>
      <c r="N1" s="14" t="s">
        <v>8</v>
      </c>
      <c r="O1" s="14" t="s">
        <v>9</v>
      </c>
      <c r="P1" s="14" t="s">
        <v>10</v>
      </c>
      <c r="Q1" s="14" t="s">
        <v>11</v>
      </c>
      <c r="R1" s="14" t="s">
        <v>12</v>
      </c>
      <c r="S1" s="14" t="s">
        <v>13</v>
      </c>
      <c r="T1" s="14" t="s">
        <v>14</v>
      </c>
      <c r="U1" s="3"/>
      <c r="V1" s="4"/>
    </row>
    <row r="2" spans="1:35" x14ac:dyDescent="0.3">
      <c r="A2" s="88"/>
      <c r="B2" s="88"/>
      <c r="C2" s="88"/>
      <c r="D2" s="89"/>
      <c r="E2" s="7" t="s">
        <v>15</v>
      </c>
      <c r="F2" s="7">
        <v>3</v>
      </c>
      <c r="G2" s="7">
        <v>3</v>
      </c>
      <c r="H2" s="7">
        <v>3</v>
      </c>
      <c r="I2" s="7">
        <v>3</v>
      </c>
      <c r="J2" s="7">
        <v>3</v>
      </c>
      <c r="K2" s="7">
        <v>2</v>
      </c>
      <c r="L2" s="7">
        <v>3</v>
      </c>
      <c r="M2" s="7">
        <v>3</v>
      </c>
      <c r="N2" s="7">
        <v>3</v>
      </c>
      <c r="O2" s="7">
        <v>2</v>
      </c>
      <c r="P2" s="7">
        <v>2</v>
      </c>
      <c r="Q2" s="7">
        <v>3</v>
      </c>
      <c r="R2" s="7">
        <v>4</v>
      </c>
      <c r="S2" s="7">
        <v>4</v>
      </c>
      <c r="T2" s="7">
        <v>5</v>
      </c>
      <c r="U2" s="3"/>
      <c r="V2" s="4"/>
    </row>
    <row r="3" spans="1:35" x14ac:dyDescent="0.3">
      <c r="A3" s="88"/>
      <c r="B3" s="88"/>
      <c r="C3" s="88"/>
      <c r="D3" s="89"/>
      <c r="E3" s="7" t="s">
        <v>16</v>
      </c>
      <c r="F3" s="32">
        <v>1E-3</v>
      </c>
      <c r="G3" s="32">
        <v>1E-3</v>
      </c>
      <c r="H3" s="32">
        <v>1E-3</v>
      </c>
      <c r="I3" s="32">
        <v>5.0000000000000001E-4</v>
      </c>
      <c r="J3" s="32">
        <v>1E-3</v>
      </c>
      <c r="K3" s="32">
        <v>3.0000000000000001E-3</v>
      </c>
      <c r="L3" s="32">
        <v>5.0000000000000001E-4</v>
      </c>
      <c r="M3" s="32">
        <v>1E-3</v>
      </c>
      <c r="N3" s="32">
        <v>5.0000000000000001E-4</v>
      </c>
      <c r="O3" s="32">
        <v>2E-3</v>
      </c>
      <c r="P3" s="32">
        <v>1E-3</v>
      </c>
      <c r="Q3" s="32">
        <v>1E-3</v>
      </c>
      <c r="R3" s="32">
        <v>1E-4</v>
      </c>
      <c r="S3" s="32"/>
      <c r="T3" s="32"/>
      <c r="U3" s="3"/>
      <c r="V3" s="4"/>
    </row>
    <row r="4" spans="1:35" x14ac:dyDescent="0.3">
      <c r="A4" s="88"/>
      <c r="B4" s="88"/>
      <c r="C4" s="88"/>
      <c r="D4" s="89"/>
      <c r="E4" s="8" t="s">
        <v>17</v>
      </c>
      <c r="F4" s="9">
        <v>5.0000000000000001E-3</v>
      </c>
      <c r="G4" s="9">
        <v>5.0000000000000001E-3</v>
      </c>
      <c r="H4" s="9">
        <v>5.0000000000000001E-3</v>
      </c>
      <c r="I4" s="9">
        <v>1E-3</v>
      </c>
      <c r="J4" s="9">
        <v>8.0000000000000002E-3</v>
      </c>
      <c r="K4" s="10">
        <v>0.05</v>
      </c>
      <c r="L4" s="9">
        <v>4.0000000000000001E-3</v>
      </c>
      <c r="M4" s="9">
        <v>4.0000000000000001E-3</v>
      </c>
      <c r="N4" s="9">
        <v>2E-3</v>
      </c>
      <c r="O4" s="10">
        <v>0.02</v>
      </c>
      <c r="P4" s="10">
        <v>0.01</v>
      </c>
      <c r="Q4" s="9">
        <v>2E-3</v>
      </c>
      <c r="R4" s="11">
        <v>1E-4</v>
      </c>
      <c r="S4" s="11">
        <v>2.9999999999999997E-4</v>
      </c>
      <c r="T4" s="12">
        <v>5.0000000000000002E-5</v>
      </c>
      <c r="U4" s="13"/>
      <c r="V4" s="4"/>
    </row>
    <row r="5" spans="1:35" x14ac:dyDescent="0.3">
      <c r="A5" s="88"/>
      <c r="B5" s="88"/>
      <c r="C5" s="88"/>
      <c r="D5" s="89"/>
      <c r="E5" s="62" t="s">
        <v>18</v>
      </c>
      <c r="F5" s="63">
        <v>0.01</v>
      </c>
      <c r="G5" s="63">
        <v>0.01</v>
      </c>
      <c r="H5" s="63">
        <v>0.01</v>
      </c>
      <c r="I5" s="64">
        <v>1E-3</v>
      </c>
      <c r="J5" s="63">
        <v>0.05</v>
      </c>
      <c r="K5" s="65">
        <v>0.3</v>
      </c>
      <c r="L5" s="65">
        <v>0.3</v>
      </c>
      <c r="M5" s="66">
        <v>1</v>
      </c>
      <c r="N5" s="64">
        <v>5.0000000000000001E-3</v>
      </c>
      <c r="O5" s="65">
        <v>0.2</v>
      </c>
      <c r="P5" s="66">
        <v>1</v>
      </c>
      <c r="Q5" s="66">
        <v>3</v>
      </c>
      <c r="R5" s="63">
        <v>0.03</v>
      </c>
      <c r="S5" s="64" t="s">
        <v>32</v>
      </c>
      <c r="T5" s="64" t="s">
        <v>34</v>
      </c>
      <c r="U5" s="15"/>
      <c r="V5" s="4"/>
    </row>
    <row r="6" spans="1:35" x14ac:dyDescent="0.3">
      <c r="A6" s="90"/>
      <c r="B6" s="90"/>
      <c r="C6" s="90"/>
      <c r="D6" s="91"/>
      <c r="E6" s="67" t="s">
        <v>19</v>
      </c>
      <c r="F6" s="68"/>
      <c r="G6" s="69">
        <v>0.05</v>
      </c>
      <c r="H6" s="69">
        <v>0.05</v>
      </c>
      <c r="I6" s="68"/>
      <c r="J6" s="68"/>
      <c r="K6" s="68"/>
      <c r="L6" s="68" t="s">
        <v>20</v>
      </c>
      <c r="M6" s="68"/>
      <c r="N6" s="68"/>
      <c r="O6" s="68"/>
      <c r="P6" s="68"/>
      <c r="Q6" s="68"/>
      <c r="R6" s="68"/>
      <c r="S6" s="68"/>
      <c r="T6" s="68"/>
      <c r="U6" s="15"/>
      <c r="V6" s="4"/>
    </row>
    <row r="7" spans="1:35" s="18" customFormat="1" x14ac:dyDescent="0.3">
      <c r="A7" s="16" t="s">
        <v>21</v>
      </c>
      <c r="B7" s="50" t="s">
        <v>22</v>
      </c>
      <c r="C7" s="50" t="s">
        <v>23</v>
      </c>
      <c r="D7" s="50" t="s">
        <v>24</v>
      </c>
      <c r="E7" s="50" t="s">
        <v>25</v>
      </c>
      <c r="F7" s="50" t="s">
        <v>0</v>
      </c>
      <c r="G7" s="50" t="s">
        <v>1</v>
      </c>
      <c r="H7" s="50" t="s">
        <v>2</v>
      </c>
      <c r="I7" s="50" t="s">
        <v>26</v>
      </c>
      <c r="J7" s="50" t="s">
        <v>4</v>
      </c>
      <c r="K7" s="50" t="s">
        <v>5</v>
      </c>
      <c r="L7" s="50" t="s">
        <v>6</v>
      </c>
      <c r="M7" s="50" t="s">
        <v>7</v>
      </c>
      <c r="N7" s="50" t="s">
        <v>8</v>
      </c>
      <c r="O7" s="50" t="s">
        <v>9</v>
      </c>
      <c r="P7" s="50" t="s">
        <v>10</v>
      </c>
      <c r="Q7" s="50" t="s">
        <v>11</v>
      </c>
      <c r="R7" s="50" t="s">
        <v>12</v>
      </c>
      <c r="S7" s="16" t="s">
        <v>13</v>
      </c>
      <c r="T7" s="16" t="s">
        <v>14</v>
      </c>
      <c r="U7" s="17"/>
    </row>
    <row r="8" spans="1:35" s="18" customFormat="1" x14ac:dyDescent="0.3">
      <c r="A8" s="19">
        <f>'분석 결과'!A8</f>
        <v>0</v>
      </c>
      <c r="B8" s="19" t="str">
        <f>'분석 결과'!B8</f>
        <v>st-5</v>
      </c>
      <c r="C8" s="19">
        <f>'분석 결과'!C8</f>
        <v>0</v>
      </c>
      <c r="D8" s="53">
        <f>'분석 결과'!D8</f>
        <v>0</v>
      </c>
      <c r="E8" s="53">
        <f>'분석 결과'!E8</f>
        <v>0</v>
      </c>
      <c r="F8" s="61">
        <f>IF(GetColor('분석 결과'!F8,FALSE,-1)=13421772,'분석 결과'!V8,"")</f>
        <v>7.3473031832871794E-2</v>
      </c>
      <c r="G8" s="61">
        <f>IF(GetColor('분석 결과'!G8,FALSE,-1)=13421772,'분석 결과'!W8,"")</f>
        <v>7.9330549845070902E-2</v>
      </c>
      <c r="H8" s="61">
        <f>IF(GetColor('분석 결과'!H8,FALSE,-1)=13421772,'분석 결과'!X8,"")</f>
        <v>7.9810067033891596E-2</v>
      </c>
      <c r="I8" s="61">
        <f>IF(GetColor('분석 결과'!I8,FALSE,-1)=13421772,'분석 결과'!Y8,"")</f>
        <v>2.0003939075319199E-3</v>
      </c>
      <c r="J8" s="61">
        <f>IF(GetColor('분석 결과'!J8,FALSE,-1)=13421772,'분석 결과'!Z8,"")</f>
        <v>7.7175203361403696E-2</v>
      </c>
      <c r="K8" s="61">
        <f>IF(GetColor('분석 결과'!K8,FALSE,-1)=13421772,'분석 결과'!AA8,"")</f>
        <v>7.6566729686005697E-2</v>
      </c>
      <c r="L8" s="61">
        <f>IF(GetColor('분석 결과'!L8,FALSE,-1)=13421772,'분석 결과'!AB8,"")</f>
        <v>7.7384808487467205E-2</v>
      </c>
      <c r="M8" s="61">
        <f>IF(GetColor('분석 결과'!M8,FALSE,-1)=13421772,'분석 결과'!AC8,"")</f>
        <v>7.6855148132202206E-2</v>
      </c>
      <c r="N8" s="61">
        <f>IF(GetColor('분석 결과'!N8,FALSE,-1)=13421772,'분석 결과'!AD8,"")</f>
        <v>7.6797595096535207E-2</v>
      </c>
      <c r="O8" s="61">
        <f>IF(GetColor('분석 결과'!O8,FALSE,-1)=13421772,'분석 결과'!AE8,"")</f>
        <v>8.0184344734041693E-2</v>
      </c>
      <c r="P8" s="61">
        <f>IF(GetColor('분석 결과'!P8,FALSE,-1)=13421772,'분석 결과'!AF8,"")</f>
        <v>7.7553163564679603E-2</v>
      </c>
      <c r="Q8" s="61">
        <f>IF(GetColor('분석 결과'!Q8,FALSE,-1)=13421772,'분석 결과'!AG8,"")</f>
        <v>7.5861502643806797E-2</v>
      </c>
      <c r="R8" s="61">
        <f>IF(GetColor('분석 결과'!R8,FALSE,-1)=13421772,'분석 결과'!AH8,"")</f>
        <v>7.9119459856407795E-2</v>
      </c>
      <c r="S8" s="61">
        <f>IF(GetColor('분석 결과'!S8,FALSE,-1)=13421772,'분석 결과'!AI8,"")</f>
        <v>7.6147773225519799E-2</v>
      </c>
      <c r="T8" s="60">
        <f>IF(GetColor('분석 결과'!T8,FALSE,-1)=13421772,'분석 결과'!AJ8,"")</f>
        <v>7.9254185617785605E-2</v>
      </c>
      <c r="U8" s="17"/>
    </row>
    <row r="9" spans="1:35" s="18" customFormat="1" x14ac:dyDescent="0.3">
      <c r="A9" s="19">
        <f>'분석 결과'!A9</f>
        <v>1</v>
      </c>
      <c r="B9" s="19" t="str">
        <f>'분석 결과'!B9</f>
        <v>2782300165-01</v>
      </c>
      <c r="C9" s="19" t="str">
        <f>'분석 결과'!C9</f>
        <v>경기 가평군 가평읍 달전리 391-1 수돗물(가평)</v>
      </c>
      <c r="D9" s="53" t="str">
        <f>'분석 결과'!D9</f>
        <v>수도/상수정수/상수정수</v>
      </c>
      <c r="E9" s="53" t="str">
        <f>'분석 결과'!E9</f>
        <v>08-28</v>
      </c>
      <c r="F9" s="61" t="str">
        <f>IF(GetColor('분석 결과'!F9,FALSE,-1)=13421772,'분석 결과'!V9,"")</f>
        <v>불검출</v>
      </c>
      <c r="G9" s="61" t="str">
        <f>IF(GetColor('분석 결과'!G9,FALSE,-1)=13421772,'분석 결과'!W9,"")</f>
        <v>불검출</v>
      </c>
      <c r="H9" s="61" t="str">
        <f>IF(GetColor('분석 결과'!H9,FALSE,-1)=13421772,'분석 결과'!X9,"")</f>
        <v>불검출</v>
      </c>
      <c r="I9" s="61" t="str">
        <f>IF(GetColor('분석 결과'!I9,FALSE,-1)=13421772,'분석 결과'!Y9,"")</f>
        <v>불검출</v>
      </c>
      <c r="J9" s="61" t="str">
        <f>IF(GetColor('분석 결과'!J9,FALSE,-1)=13421772,'분석 결과'!Z9,"")</f>
        <v>불검출</v>
      </c>
      <c r="K9" s="61" t="str">
        <f>IF(GetColor('분석 결과'!K9,FALSE,-1)=13421772,'분석 결과'!AA9,"")</f>
        <v>불검출</v>
      </c>
      <c r="L9" s="61" t="str">
        <f>IF(GetColor('분석 결과'!L9,FALSE,-1)=13421772,'분석 결과'!AB9,"")</f>
        <v>불검출</v>
      </c>
      <c r="M9" s="61">
        <f>IF(GetColor('분석 결과'!M9,FALSE,-1)=13421772,'분석 결과'!AC9,"")</f>
        <v>4.4999999999999997E-3</v>
      </c>
      <c r="N9" s="61" t="str">
        <f>IF(GetColor('분석 결과'!N9,FALSE,-1)=13421772,'분석 결과'!AD9,"")</f>
        <v>불검출</v>
      </c>
      <c r="O9" s="61" t="str">
        <f>IF(GetColor('분석 결과'!O9,FALSE,-1)=13421772,'분석 결과'!AE9,"")</f>
        <v>불검출</v>
      </c>
      <c r="P9" s="61" t="str">
        <f>IF(GetColor('분석 결과'!P9,FALSE,-1)=13421772,'분석 결과'!AF9,"")</f>
        <v>불검출</v>
      </c>
      <c r="Q9" s="61">
        <f>IF(GetColor('분석 결과'!Q9,FALSE,-1)=13421772,'분석 결과'!AG9,"")</f>
        <v>6.8999999999999999E-3</v>
      </c>
      <c r="R9" s="61" t="str">
        <f>IF(GetColor('분석 결과'!R9,FALSE,-1)=13421772,'분석 결과'!AH9,"")</f>
        <v/>
      </c>
      <c r="S9" s="61" t="str">
        <f>IF(GetColor('분석 결과'!S9,FALSE,-1)=13421772,'분석 결과'!AI9,"")</f>
        <v/>
      </c>
      <c r="T9" s="60" t="str">
        <f>IF(GetColor('분석 결과'!T9,FALSE,-1)=13421772,'분석 결과'!AJ9,"")</f>
        <v/>
      </c>
      <c r="U9" s="1"/>
      <c r="V9" s="20"/>
      <c r="W9" s="20"/>
      <c r="X9" s="20"/>
      <c r="Y9" s="20"/>
      <c r="Z9" s="21"/>
      <c r="AA9" s="20"/>
      <c r="AB9" s="20"/>
      <c r="AC9" s="20"/>
      <c r="AD9" s="20"/>
      <c r="AE9" s="20"/>
      <c r="AF9" s="20"/>
      <c r="AG9" s="22"/>
      <c r="AH9" s="22"/>
      <c r="AI9" s="23"/>
    </row>
    <row r="10" spans="1:35" s="18" customFormat="1" x14ac:dyDescent="0.3">
      <c r="A10" s="19">
        <f>'분석 결과'!A10</f>
        <v>2</v>
      </c>
      <c r="B10" s="19" t="str">
        <f>'분석 결과'!B10</f>
        <v>1782300154-01</v>
      </c>
      <c r="C10" s="19" t="str">
        <f>'분석 결과'!C10</f>
        <v>경기 양주시 백석읍 기산로440번길 74-19 송천</v>
      </c>
      <c r="D10" s="53" t="str">
        <f>'분석 결과'!D10</f>
        <v>지하수/먹는물/지하수 46항+출장</v>
      </c>
      <c r="E10" s="53" t="str">
        <f>'분석 결과'!E10</f>
        <v>08-30</v>
      </c>
      <c r="F10" s="61" t="str">
        <f>IF(GetColor('분석 결과'!F10,FALSE,-1)=13421772,'분석 결과'!V10,"")</f>
        <v>불검출</v>
      </c>
      <c r="G10" s="61" t="str">
        <f>IF(GetColor('분석 결과'!G10,FALSE,-1)=13421772,'분석 결과'!W10,"")</f>
        <v>불검출</v>
      </c>
      <c r="H10" s="61" t="str">
        <f>IF(GetColor('분석 결과'!H10,FALSE,-1)=13421772,'분석 결과'!X10,"")</f>
        <v>불검출</v>
      </c>
      <c r="I10" s="61" t="str">
        <f>IF(GetColor('분석 결과'!I10,FALSE,-1)=13421772,'분석 결과'!Y10,"")</f>
        <v>불검출</v>
      </c>
      <c r="J10" s="61" t="str">
        <f>IF(GetColor('분석 결과'!J10,FALSE,-1)=13421772,'분석 결과'!Z10,"")</f>
        <v>불검출</v>
      </c>
      <c r="K10" s="61" t="str">
        <f>IF(GetColor('분석 결과'!K10,FALSE,-1)=13421772,'분석 결과'!AA10,"")</f>
        <v>불검출</v>
      </c>
      <c r="L10" s="61" t="str">
        <f>IF(GetColor('분석 결과'!L10,FALSE,-1)=13421772,'분석 결과'!AB10,"")</f>
        <v>불검출</v>
      </c>
      <c r="M10" s="61" t="str">
        <f>IF(GetColor('분석 결과'!M10,FALSE,-1)=13421772,'분석 결과'!AC10,"")</f>
        <v>불검출</v>
      </c>
      <c r="N10" s="61" t="str">
        <f>IF(GetColor('분석 결과'!N10,FALSE,-1)=13421772,'분석 결과'!AD10,"")</f>
        <v>불검출</v>
      </c>
      <c r="O10" s="61" t="str">
        <f>IF(GetColor('분석 결과'!O10,FALSE,-1)=13421772,'분석 결과'!AE10,"")</f>
        <v>불검출</v>
      </c>
      <c r="P10" s="61">
        <f>IF(GetColor('분석 결과'!P10,FALSE,-1)=13421772,'분석 결과'!AF10,"")</f>
        <v>1.0999999999999999E-2</v>
      </c>
      <c r="Q10" s="61">
        <f>IF(GetColor('분석 결과'!Q10,FALSE,-1)=13421772,'분석 결과'!AG10,"")</f>
        <v>3.9100000000000003E-2</v>
      </c>
      <c r="R10" s="61" t="str">
        <f>IF(GetColor('분석 결과'!R10,FALSE,-1)=13421772,'분석 결과'!AH10,"")</f>
        <v/>
      </c>
      <c r="S10" s="61" t="str">
        <f>IF(GetColor('분석 결과'!S10,FALSE,-1)=13421772,'분석 결과'!AI10,"")</f>
        <v/>
      </c>
      <c r="T10" s="60" t="str">
        <f>IF(GetColor('분석 결과'!T10,FALSE,-1)=13421772,'분석 결과'!AJ10,"")</f>
        <v/>
      </c>
      <c r="U10" s="1"/>
      <c r="V10" s="20"/>
      <c r="W10" s="20"/>
      <c r="X10" s="20"/>
      <c r="Y10" s="20"/>
      <c r="Z10" s="21"/>
      <c r="AA10" s="20"/>
      <c r="AB10" s="20"/>
      <c r="AC10" s="20"/>
      <c r="AD10" s="20"/>
      <c r="AE10" s="20"/>
      <c r="AF10" s="20"/>
      <c r="AG10" s="22"/>
      <c r="AH10" s="22"/>
      <c r="AI10" s="23"/>
    </row>
    <row r="11" spans="1:35" s="18" customFormat="1" x14ac:dyDescent="0.3">
      <c r="A11" s="19">
        <f>'분석 결과'!A11</f>
        <v>3</v>
      </c>
      <c r="B11" s="19" t="str">
        <f>'분석 결과'!B11</f>
        <v>4782300054-01</v>
      </c>
      <c r="C11" s="19" t="str">
        <f>'분석 결과'!C11</f>
        <v>경기 양주시 백석읍 기산로440번길 74-19 송천</v>
      </c>
      <c r="D11" s="53" t="str">
        <f>'분석 결과'!D11</f>
        <v>지하수/먹는물/지하수 46항(현장이중시료)</v>
      </c>
      <c r="E11" s="53" t="str">
        <f>'분석 결과'!E11</f>
        <v>08-30</v>
      </c>
      <c r="F11" s="61" t="str">
        <f>IF(GetColor('분석 결과'!F11,FALSE,-1)=13421772,'분석 결과'!V11,"")</f>
        <v>불검출</v>
      </c>
      <c r="G11" s="61" t="str">
        <f>IF(GetColor('분석 결과'!G11,FALSE,-1)=13421772,'분석 결과'!W11,"")</f>
        <v>불검출</v>
      </c>
      <c r="H11" s="61" t="str">
        <f>IF(GetColor('분석 결과'!H11,FALSE,-1)=13421772,'분석 결과'!X11,"")</f>
        <v>불검출</v>
      </c>
      <c r="I11" s="61" t="str">
        <f>IF(GetColor('분석 결과'!I11,FALSE,-1)=13421772,'분석 결과'!Y11,"")</f>
        <v>불검출</v>
      </c>
      <c r="J11" s="61" t="str">
        <f>IF(GetColor('분석 결과'!J11,FALSE,-1)=13421772,'분석 결과'!Z11,"")</f>
        <v>불검출</v>
      </c>
      <c r="K11" s="61" t="str">
        <f>IF(GetColor('분석 결과'!K11,FALSE,-1)=13421772,'분석 결과'!AA11,"")</f>
        <v>불검출</v>
      </c>
      <c r="L11" s="61" t="str">
        <f>IF(GetColor('분석 결과'!L11,FALSE,-1)=13421772,'분석 결과'!AB11,"")</f>
        <v>불검출</v>
      </c>
      <c r="M11" s="61">
        <f>IF(GetColor('분석 결과'!M11,FALSE,-1)=13421772,'분석 결과'!AC11,"")</f>
        <v>8.5000000000000006E-3</v>
      </c>
      <c r="N11" s="61" t="str">
        <f>IF(GetColor('분석 결과'!N11,FALSE,-1)=13421772,'분석 결과'!AD11,"")</f>
        <v>불검출</v>
      </c>
      <c r="O11" s="61" t="str">
        <f>IF(GetColor('분석 결과'!O11,FALSE,-1)=13421772,'분석 결과'!AE11,"")</f>
        <v>불검출</v>
      </c>
      <c r="P11" s="61">
        <f>IF(GetColor('분석 결과'!P11,FALSE,-1)=13421772,'분석 결과'!AF11,"")</f>
        <v>1.2E-2</v>
      </c>
      <c r="Q11" s="61">
        <f>IF(GetColor('분석 결과'!Q11,FALSE,-1)=13421772,'분석 결과'!AG11,"")</f>
        <v>0.15659999999999999</v>
      </c>
      <c r="R11" s="61" t="str">
        <f>IF(GetColor('분석 결과'!R11,FALSE,-1)=13421772,'분석 결과'!AH11,"")</f>
        <v/>
      </c>
      <c r="S11" s="61" t="str">
        <f>IF(GetColor('분석 결과'!S11,FALSE,-1)=13421772,'분석 결과'!AI11,"")</f>
        <v/>
      </c>
      <c r="T11" s="60" t="str">
        <f>IF(GetColor('분석 결과'!T11,FALSE,-1)=13421772,'분석 결과'!AJ11,"")</f>
        <v/>
      </c>
      <c r="U11" s="1"/>
      <c r="V11" s="20"/>
      <c r="W11" s="20"/>
      <c r="X11" s="20"/>
      <c r="Y11" s="20"/>
      <c r="Z11" s="21"/>
      <c r="AA11" s="20"/>
      <c r="AB11" s="20"/>
      <c r="AC11" s="20"/>
      <c r="AD11" s="20"/>
      <c r="AE11" s="20"/>
      <c r="AF11" s="20"/>
      <c r="AG11" s="22"/>
      <c r="AH11" s="22"/>
      <c r="AI11" s="23"/>
    </row>
    <row r="12" spans="1:35" s="18" customFormat="1" x14ac:dyDescent="0.3">
      <c r="A12" s="19">
        <f>'분석 결과'!A12</f>
        <v>4</v>
      </c>
      <c r="B12" s="19" t="str">
        <f>'분석 결과'!B12</f>
        <v>운반바탕시료</v>
      </c>
      <c r="C12" s="19">
        <f>'분석 결과'!C12</f>
        <v>0</v>
      </c>
      <c r="D12" s="53">
        <f>'분석 결과'!D12</f>
        <v>0</v>
      </c>
      <c r="E12" s="53">
        <f>'분석 결과'!E12</f>
        <v>0</v>
      </c>
      <c r="F12" s="61" t="str">
        <f>IF(GetColor('분석 결과'!F12,FALSE,-1)=13421772,'분석 결과'!V12,"")</f>
        <v>불검출</v>
      </c>
      <c r="G12" s="61" t="str">
        <f>IF(GetColor('분석 결과'!G12,FALSE,-1)=13421772,'분석 결과'!W12,"")</f>
        <v>불검출</v>
      </c>
      <c r="H12" s="61" t="str">
        <f>IF(GetColor('분석 결과'!H12,FALSE,-1)=13421772,'분석 결과'!X12,"")</f>
        <v>불검출</v>
      </c>
      <c r="I12" s="61" t="str">
        <f>IF(GetColor('분석 결과'!I12,FALSE,-1)=13421772,'분석 결과'!Y12,"")</f>
        <v>불검출</v>
      </c>
      <c r="J12" s="61" t="str">
        <f>IF(GetColor('분석 결과'!J12,FALSE,-1)=13421772,'분석 결과'!Z12,"")</f>
        <v>불검출</v>
      </c>
      <c r="K12" s="61" t="str">
        <f>IF(GetColor('분석 결과'!K12,FALSE,-1)=13421772,'분석 결과'!AA12,"")</f>
        <v>불검출</v>
      </c>
      <c r="L12" s="61" t="str">
        <f>IF(GetColor('분석 결과'!L12,FALSE,-1)=13421772,'분석 결과'!AB12,"")</f>
        <v>불검출</v>
      </c>
      <c r="M12" s="61" t="str">
        <f>IF(GetColor('분석 결과'!M12,FALSE,-1)=13421772,'분석 결과'!AC12,"")</f>
        <v>불검출</v>
      </c>
      <c r="N12" s="61" t="str">
        <f>IF(GetColor('분석 결과'!N12,FALSE,-1)=13421772,'분석 결과'!AD12,"")</f>
        <v>불검출</v>
      </c>
      <c r="O12" s="61" t="str">
        <f>IF(GetColor('분석 결과'!O12,FALSE,-1)=13421772,'분석 결과'!AE12,"")</f>
        <v>불검출</v>
      </c>
      <c r="P12" s="61" t="str">
        <f>IF(GetColor('분석 결과'!P12,FALSE,-1)=13421772,'분석 결과'!AF12,"")</f>
        <v>불검출</v>
      </c>
      <c r="Q12" s="61" t="str">
        <f>IF(GetColor('분석 결과'!Q12,FALSE,-1)=13421772,'분석 결과'!AG12,"")</f>
        <v>불검출</v>
      </c>
      <c r="R12" s="61" t="str">
        <f>IF(GetColor('분석 결과'!R12,FALSE,-1)=13421772,'분석 결과'!AH12,"")</f>
        <v/>
      </c>
      <c r="S12" s="61" t="str">
        <f>IF(GetColor('분석 결과'!S12,FALSE,-1)=13421772,'분석 결과'!AI12,"")</f>
        <v/>
      </c>
      <c r="T12" s="60" t="str">
        <f>IF(GetColor('분석 결과'!T12,FALSE,-1)=13421772,'분석 결과'!AJ12,"")</f>
        <v/>
      </c>
      <c r="U12" s="1"/>
      <c r="V12" s="20"/>
      <c r="W12" s="20"/>
      <c r="X12" s="20"/>
      <c r="Y12" s="20"/>
      <c r="Z12" s="21"/>
      <c r="AA12" s="20"/>
      <c r="AB12" s="20"/>
      <c r="AC12" s="20"/>
      <c r="AD12" s="20"/>
      <c r="AE12" s="20"/>
      <c r="AF12" s="20"/>
      <c r="AG12" s="22"/>
      <c r="AH12" s="22"/>
      <c r="AI12" s="23"/>
    </row>
    <row r="13" spans="1:35" s="18" customFormat="1" x14ac:dyDescent="0.3">
      <c r="A13" s="19">
        <f>'분석 결과'!A13</f>
        <v>5</v>
      </c>
      <c r="B13" s="19" t="str">
        <f>'분석 결과'!B13</f>
        <v>1782300155-01</v>
      </c>
      <c r="C13" s="19" t="str">
        <f>'분석 결과'!C13</f>
        <v>경기도 의정부시 체육로 265-25</v>
      </c>
      <c r="D13" s="53" t="str">
        <f>'분석 결과'!D13</f>
        <v>옥내급수관/옥내급수관+출장</v>
      </c>
      <c r="E13" s="53" t="str">
        <f>'분석 결과'!E13</f>
        <v>08-30</v>
      </c>
      <c r="F13" s="61" t="str">
        <f>IF(GetColor('분석 결과'!F13,FALSE,-1)=13421772,'분석 결과'!V13,"")</f>
        <v>불검출</v>
      </c>
      <c r="G13" s="61" t="str">
        <f>IF(GetColor('분석 결과'!G13,FALSE,-1)=13421772,'분석 결과'!W13,"")</f>
        <v/>
      </c>
      <c r="H13" s="61" t="str">
        <f>IF(GetColor('분석 결과'!H13,FALSE,-1)=13421772,'분석 결과'!X13,"")</f>
        <v/>
      </c>
      <c r="I13" s="61" t="str">
        <f>IF(GetColor('분석 결과'!I13,FALSE,-1)=13421772,'분석 결과'!Y13,"")</f>
        <v/>
      </c>
      <c r="J13" s="61" t="str">
        <f>IF(GetColor('분석 결과'!J13,FALSE,-1)=13421772,'분석 결과'!Z13,"")</f>
        <v/>
      </c>
      <c r="K13" s="61" t="str">
        <f>IF(GetColor('분석 결과'!K13,FALSE,-1)=13421772,'분석 결과'!AA13,"")</f>
        <v>불검출</v>
      </c>
      <c r="L13" s="61" t="str">
        <f>IF(GetColor('분석 결과'!L13,FALSE,-1)=13421772,'분석 결과'!AB13,"")</f>
        <v/>
      </c>
      <c r="M13" s="61" t="str">
        <f>IF(GetColor('분석 결과'!M13,FALSE,-1)=13421772,'분석 결과'!AC13,"")</f>
        <v>불검출</v>
      </c>
      <c r="N13" s="61" t="str">
        <f>IF(GetColor('분석 결과'!N13,FALSE,-1)=13421772,'분석 결과'!AD13,"")</f>
        <v/>
      </c>
      <c r="O13" s="61" t="str">
        <f>IF(GetColor('분석 결과'!O13,FALSE,-1)=13421772,'분석 결과'!AE13,"")</f>
        <v/>
      </c>
      <c r="P13" s="61" t="str">
        <f>IF(GetColor('분석 결과'!P13,FALSE,-1)=13421772,'분석 결과'!AF13,"")</f>
        <v/>
      </c>
      <c r="Q13" s="61" t="str">
        <f>IF(GetColor('분석 결과'!Q13,FALSE,-1)=13421772,'분석 결과'!AG13,"")</f>
        <v>불검출</v>
      </c>
      <c r="R13" s="61" t="str">
        <f>IF(GetColor('분석 결과'!R13,FALSE,-1)=13421772,'분석 결과'!AH13,"")</f>
        <v/>
      </c>
      <c r="S13" s="61" t="str">
        <f>IF(GetColor('분석 결과'!S13,FALSE,-1)=13421772,'분석 결과'!AI13,"")</f>
        <v/>
      </c>
      <c r="T13" s="60" t="str">
        <f>IF(GetColor('분석 결과'!T13,FALSE,-1)=13421772,'분석 결과'!AJ13,"")</f>
        <v/>
      </c>
      <c r="U13" s="1"/>
      <c r="V13" s="20"/>
      <c r="W13" s="20"/>
      <c r="X13" s="20"/>
      <c r="Y13" s="20"/>
      <c r="Z13" s="21"/>
      <c r="AA13" s="20"/>
      <c r="AB13" s="20"/>
      <c r="AC13" s="20"/>
      <c r="AD13" s="20"/>
      <c r="AE13" s="20"/>
      <c r="AF13" s="20"/>
      <c r="AG13" s="22"/>
      <c r="AH13" s="22"/>
      <c r="AI13" s="23"/>
    </row>
    <row r="14" spans="1:35" s="18" customFormat="1" x14ac:dyDescent="0.3">
      <c r="A14" s="19">
        <f>'분석 결과'!A14</f>
        <v>6</v>
      </c>
      <c r="B14" s="19" t="str">
        <f>'분석 결과'!B14</f>
        <v>4782300042-01</v>
      </c>
      <c r="C14" s="19" t="str">
        <f>'분석 결과'!C14</f>
        <v>에이워터 내추럴 알칼리수</v>
      </c>
      <c r="D14" s="53" t="str">
        <f>'분석 결과'!D14</f>
        <v>먹는샘물/먹는샘물제품수</v>
      </c>
      <c r="E14" s="53" t="str">
        <f>'분석 결과'!E14</f>
        <v>08-29</v>
      </c>
      <c r="F14" s="61" t="str">
        <f>IF(GetColor('분석 결과'!F14,FALSE,-1)=13421772,'분석 결과'!V14,"")</f>
        <v>불검출</v>
      </c>
      <c r="G14" s="61" t="str">
        <f>IF(GetColor('분석 결과'!G14,FALSE,-1)=13421772,'분석 결과'!W14,"")</f>
        <v>불검출</v>
      </c>
      <c r="H14" s="61" t="str">
        <f>IF(GetColor('분석 결과'!H14,FALSE,-1)=13421772,'분석 결과'!X14,"")</f>
        <v>불검출</v>
      </c>
      <c r="I14" s="61" t="str">
        <f>IF(GetColor('분석 결과'!I14,FALSE,-1)=13421772,'분석 결과'!Y14,"")</f>
        <v>불검출</v>
      </c>
      <c r="J14" s="61" t="str">
        <f>IF(GetColor('분석 결과'!J14,FALSE,-1)=13421772,'분석 결과'!Z14,"")</f>
        <v>불검출</v>
      </c>
      <c r="K14" s="61" t="str">
        <f>IF(GetColor('분석 결과'!K14,FALSE,-1)=13421772,'분석 결과'!AA14,"")</f>
        <v>불검출</v>
      </c>
      <c r="L14" s="61">
        <f>IF(GetColor('분석 결과'!L14,FALSE,-1)=13421772,'분석 결과'!AB14,"")</f>
        <v>5.3E-3</v>
      </c>
      <c r="M14" s="61" t="str">
        <f>IF(GetColor('분석 결과'!M14,FALSE,-1)=13421772,'분석 결과'!AC14,"")</f>
        <v>불검출</v>
      </c>
      <c r="N14" s="61" t="str">
        <f>IF(GetColor('분석 결과'!N14,FALSE,-1)=13421772,'분석 결과'!AD14,"")</f>
        <v>불검출</v>
      </c>
      <c r="O14" s="61" t="str">
        <f>IF(GetColor('분석 결과'!O14,FALSE,-1)=13421772,'분석 결과'!AE14,"")</f>
        <v>불검출</v>
      </c>
      <c r="P14" s="61" t="str">
        <f>IF(GetColor('분석 결과'!P14,FALSE,-1)=13421772,'분석 결과'!AF14,"")</f>
        <v>불검출</v>
      </c>
      <c r="Q14" s="61">
        <f>IF(GetColor('분석 결과'!Q14,FALSE,-1)=13421772,'분석 결과'!AG14,"")</f>
        <v>2.8999999999999998E-3</v>
      </c>
      <c r="R14" s="61">
        <f>IF(GetColor('분석 결과'!R14,FALSE,-1)=13421772,'분석 결과'!AH14,"")</f>
        <v>1.9400000000000001E-3</v>
      </c>
      <c r="S14" s="61">
        <f>IF(GetColor('분석 결과'!S14,FALSE,-1)=13421772,'분석 결과'!AI14,"")</f>
        <v>3.5699999999999998E-3</v>
      </c>
      <c r="T14" s="60">
        <f>IF(GetColor('분석 결과'!T14,FALSE,-1)=13421772,'분석 결과'!AJ14,"")</f>
        <v>3.6000000000000002E-4</v>
      </c>
      <c r="U14" s="1"/>
      <c r="V14" s="20"/>
      <c r="W14" s="20"/>
      <c r="X14" s="20"/>
      <c r="Y14" s="20"/>
      <c r="Z14" s="21"/>
      <c r="AA14" s="20"/>
      <c r="AB14" s="20"/>
      <c r="AC14" s="20"/>
      <c r="AD14" s="20"/>
      <c r="AE14" s="20"/>
      <c r="AF14" s="20"/>
      <c r="AG14" s="22"/>
      <c r="AH14" s="22"/>
      <c r="AI14" s="23"/>
    </row>
    <row r="15" spans="1:35" s="18" customFormat="1" x14ac:dyDescent="0.3">
      <c r="A15" s="19">
        <f>'분석 결과'!A15</f>
        <v>7</v>
      </c>
      <c r="B15" s="19" t="str">
        <f>'분석 결과'!B15</f>
        <v>4782300042-02</v>
      </c>
      <c r="C15" s="19" t="str">
        <f>'분석 결과'!C15</f>
        <v>37.4 미네랄워터</v>
      </c>
      <c r="D15" s="53" t="str">
        <f>'분석 결과'!D15</f>
        <v>먹는샘물/먹는샘물제품수</v>
      </c>
      <c r="E15" s="53" t="str">
        <f>'분석 결과'!E15</f>
        <v>08-29</v>
      </c>
      <c r="F15" s="61" t="str">
        <f>IF(GetColor('분석 결과'!F15,FALSE,-1)=13421772,'분석 결과'!V15,"")</f>
        <v>불검출</v>
      </c>
      <c r="G15" s="61" t="str">
        <f>IF(GetColor('분석 결과'!G15,FALSE,-1)=13421772,'분석 결과'!W15,"")</f>
        <v>불검출</v>
      </c>
      <c r="H15" s="61" t="str">
        <f>IF(GetColor('분석 결과'!H15,FALSE,-1)=13421772,'분석 결과'!X15,"")</f>
        <v>불검출</v>
      </c>
      <c r="I15" s="61" t="str">
        <f>IF(GetColor('분석 결과'!I15,FALSE,-1)=13421772,'분석 결과'!Y15,"")</f>
        <v>불검출</v>
      </c>
      <c r="J15" s="61" t="str">
        <f>IF(GetColor('분석 결과'!J15,FALSE,-1)=13421772,'분석 결과'!Z15,"")</f>
        <v>불검출</v>
      </c>
      <c r="K15" s="61" t="str">
        <f>IF(GetColor('분석 결과'!K15,FALSE,-1)=13421772,'분석 결과'!AA15,"")</f>
        <v>불검출</v>
      </c>
      <c r="L15" s="61" t="str">
        <f>IF(GetColor('분석 결과'!L15,FALSE,-1)=13421772,'분석 결과'!AB15,"")</f>
        <v>불검출</v>
      </c>
      <c r="M15" s="61" t="str">
        <f>IF(GetColor('분석 결과'!M15,FALSE,-1)=13421772,'분석 결과'!AC15,"")</f>
        <v>불검출</v>
      </c>
      <c r="N15" s="61" t="str">
        <f>IF(GetColor('분석 결과'!N15,FALSE,-1)=13421772,'분석 결과'!AD15,"")</f>
        <v>불검출</v>
      </c>
      <c r="O15" s="61">
        <f>IF(GetColor('분석 결과'!O15,FALSE,-1)=13421772,'분석 결과'!AE15,"")</f>
        <v>4.1000000000000002E-2</v>
      </c>
      <c r="P15" s="61" t="str">
        <f>IF(GetColor('분석 결과'!P15,FALSE,-1)=13421772,'분석 결과'!AF15,"")</f>
        <v>불검출</v>
      </c>
      <c r="Q15" s="61">
        <f>IF(GetColor('분석 결과'!Q15,FALSE,-1)=13421772,'분석 결과'!AG15,"")</f>
        <v>2.3999999999999998E-3</v>
      </c>
      <c r="R15" s="61">
        <f>IF(GetColor('분석 결과'!R15,FALSE,-1)=13421772,'분석 결과'!AH15,"")</f>
        <v>3.3800000000000002E-3</v>
      </c>
      <c r="S15" s="61">
        <f>IF(GetColor('분석 결과'!S15,FALSE,-1)=13421772,'분석 결과'!AI15,"")</f>
        <v>8.1200000000000005E-3</v>
      </c>
      <c r="T15" s="60">
        <f>IF(GetColor('분석 결과'!T15,FALSE,-1)=13421772,'분석 결과'!AJ15,"")</f>
        <v>6.9999999999999999E-4</v>
      </c>
      <c r="U15" s="1"/>
      <c r="V15" s="20"/>
      <c r="W15" s="20"/>
      <c r="X15" s="20"/>
      <c r="Y15" s="20"/>
      <c r="Z15" s="21"/>
      <c r="AA15" s="20"/>
      <c r="AB15" s="20"/>
      <c r="AC15" s="20"/>
      <c r="AD15" s="20"/>
      <c r="AE15" s="20"/>
      <c r="AF15" s="20"/>
      <c r="AG15" s="22"/>
      <c r="AH15" s="22"/>
      <c r="AI15" s="23"/>
    </row>
    <row r="16" spans="1:35" s="18" customFormat="1" x14ac:dyDescent="0.3">
      <c r="A16" s="19">
        <f>'분석 결과'!A16</f>
        <v>8</v>
      </c>
      <c r="B16" s="19" t="str">
        <f>'분석 결과'!B16</f>
        <v>4782300042-03</v>
      </c>
      <c r="C16" s="19" t="str">
        <f>'분석 결과'!C16</f>
        <v>물마루</v>
      </c>
      <c r="D16" s="53" t="str">
        <f>'분석 결과'!D16</f>
        <v>먹는샘물/먹는샘물제품수</v>
      </c>
      <c r="E16" s="53" t="str">
        <f>'분석 결과'!E16</f>
        <v>08-29</v>
      </c>
      <c r="F16" s="61" t="str">
        <f>IF(GetColor('분석 결과'!F16,FALSE,-1)=13421772,'분석 결과'!V16,"")</f>
        <v>불검출</v>
      </c>
      <c r="G16" s="61" t="str">
        <f>IF(GetColor('분석 결과'!G16,FALSE,-1)=13421772,'분석 결과'!W16,"")</f>
        <v>불검출</v>
      </c>
      <c r="H16" s="61" t="str">
        <f>IF(GetColor('분석 결과'!H16,FALSE,-1)=13421772,'분석 결과'!X16,"")</f>
        <v>불검출</v>
      </c>
      <c r="I16" s="61" t="str">
        <f>IF(GetColor('분석 결과'!I16,FALSE,-1)=13421772,'분석 결과'!Y16,"")</f>
        <v>불검출</v>
      </c>
      <c r="J16" s="61" t="str">
        <f>IF(GetColor('분석 결과'!J16,FALSE,-1)=13421772,'분석 결과'!Z16,"")</f>
        <v>불검출</v>
      </c>
      <c r="K16" s="61" t="str">
        <f>IF(GetColor('분석 결과'!K16,FALSE,-1)=13421772,'분석 결과'!AA16,"")</f>
        <v>불검출</v>
      </c>
      <c r="L16" s="61" t="str">
        <f>IF(GetColor('분석 결과'!L16,FALSE,-1)=13421772,'분석 결과'!AB16,"")</f>
        <v>불검출</v>
      </c>
      <c r="M16" s="61" t="str">
        <f>IF(GetColor('분석 결과'!M16,FALSE,-1)=13421772,'분석 결과'!AC16,"")</f>
        <v>불검출</v>
      </c>
      <c r="N16" s="61" t="str">
        <f>IF(GetColor('분석 결과'!N16,FALSE,-1)=13421772,'분석 결과'!AD16,"")</f>
        <v>불검출</v>
      </c>
      <c r="O16" s="61" t="str">
        <f>IF(GetColor('분석 결과'!O16,FALSE,-1)=13421772,'분석 결과'!AE16,"")</f>
        <v>불검출</v>
      </c>
      <c r="P16" s="61" t="str">
        <f>IF(GetColor('분석 결과'!P16,FALSE,-1)=13421772,'분석 결과'!AF16,"")</f>
        <v>불검출</v>
      </c>
      <c r="Q16" s="61" t="str">
        <f>IF(GetColor('분석 결과'!Q16,FALSE,-1)=13421772,'분석 결과'!AG16,"")</f>
        <v>불검출</v>
      </c>
      <c r="R16" s="61">
        <f>IF(GetColor('분석 결과'!R16,FALSE,-1)=13421772,'분석 결과'!AH16,"")</f>
        <v>0.57621</v>
      </c>
      <c r="S16" s="61">
        <f>IF(GetColor('분석 결과'!S16,FALSE,-1)=13421772,'분석 결과'!AI16,"")</f>
        <v>6.9999999999999999E-4</v>
      </c>
      <c r="T16" s="60">
        <f>IF(GetColor('분석 결과'!T16,FALSE,-1)=13421772,'분석 결과'!AJ16,"")</f>
        <v>2.5999999999999998E-4</v>
      </c>
      <c r="U16" s="1"/>
      <c r="V16" s="20"/>
      <c r="W16" s="20"/>
      <c r="X16" s="20"/>
      <c r="Y16" s="20"/>
      <c r="Z16" s="21"/>
      <c r="AA16" s="20"/>
      <c r="AB16" s="20"/>
      <c r="AC16" s="20"/>
      <c r="AD16" s="20"/>
      <c r="AE16" s="20"/>
      <c r="AF16" s="20"/>
      <c r="AG16" s="22"/>
      <c r="AH16" s="22"/>
      <c r="AI16" s="23"/>
    </row>
    <row r="17" spans="1:35" s="18" customFormat="1" x14ac:dyDescent="0.3">
      <c r="A17" s="19">
        <f>'분석 결과'!A17</f>
        <v>9</v>
      </c>
      <c r="B17" s="19" t="str">
        <f>'분석 결과'!B17</f>
        <v>4782300042-04</v>
      </c>
      <c r="C17" s="19" t="str">
        <f>'분석 결과'!C17</f>
        <v>춘천 옥산가</v>
      </c>
      <c r="D17" s="53" t="str">
        <f>'분석 결과'!D17</f>
        <v>먹는샘물/먹는샘물제품수</v>
      </c>
      <c r="E17" s="53" t="str">
        <f>'분석 결과'!E17</f>
        <v>08-29</v>
      </c>
      <c r="F17" s="61" t="str">
        <f>IF(GetColor('분석 결과'!F17,FALSE,-1)=13421772,'분석 결과'!V17,"")</f>
        <v>불검출</v>
      </c>
      <c r="G17" s="61" t="str">
        <f>IF(GetColor('분석 결과'!G17,FALSE,-1)=13421772,'분석 결과'!W17,"")</f>
        <v>불검출</v>
      </c>
      <c r="H17" s="61" t="str">
        <f>IF(GetColor('분석 결과'!H17,FALSE,-1)=13421772,'분석 결과'!X17,"")</f>
        <v>불검출</v>
      </c>
      <c r="I17" s="61" t="str">
        <f>IF(GetColor('분석 결과'!I17,FALSE,-1)=13421772,'분석 결과'!Y17,"")</f>
        <v>불검출</v>
      </c>
      <c r="J17" s="61" t="str">
        <f>IF(GetColor('분석 결과'!J17,FALSE,-1)=13421772,'분석 결과'!Z17,"")</f>
        <v>불검출</v>
      </c>
      <c r="K17" s="61" t="str">
        <f>IF(GetColor('분석 결과'!K17,FALSE,-1)=13421772,'분석 결과'!AA17,"")</f>
        <v>불검출</v>
      </c>
      <c r="L17" s="61" t="str">
        <f>IF(GetColor('분석 결과'!L17,FALSE,-1)=13421772,'분석 결과'!AB17,"")</f>
        <v>불검출</v>
      </c>
      <c r="M17" s="61" t="str">
        <f>IF(GetColor('분석 결과'!M17,FALSE,-1)=13421772,'분석 결과'!AC17,"")</f>
        <v>불검출</v>
      </c>
      <c r="N17" s="61" t="str">
        <f>IF(GetColor('분석 결과'!N17,FALSE,-1)=13421772,'분석 결과'!AD17,"")</f>
        <v>불검출</v>
      </c>
      <c r="O17" s="61" t="str">
        <f>IF(GetColor('분석 결과'!O17,FALSE,-1)=13421772,'분석 결과'!AE17,"")</f>
        <v>불검출</v>
      </c>
      <c r="P17" s="61" t="str">
        <f>IF(GetColor('분석 결과'!P17,FALSE,-1)=13421772,'분석 결과'!AF17,"")</f>
        <v>불검출</v>
      </c>
      <c r="Q17" s="61" t="str">
        <f>IF(GetColor('분석 결과'!Q17,FALSE,-1)=13421772,'분석 결과'!AG17,"")</f>
        <v>불검출</v>
      </c>
      <c r="R17" s="61">
        <f>IF(GetColor('분석 결과'!R17,FALSE,-1)=13421772,'분석 결과'!AH17,"")</f>
        <v>8.9899999999999997E-3</v>
      </c>
      <c r="S17" s="61" t="str">
        <f>IF(GetColor('분석 결과'!S17,FALSE,-1)=13421772,'분석 결과'!AI17,"")</f>
        <v>불검출</v>
      </c>
      <c r="T17" s="60">
        <f>IF(GetColor('분석 결과'!T17,FALSE,-1)=13421772,'분석 결과'!AJ17,"")</f>
        <v>4.2999999999999999E-4</v>
      </c>
      <c r="U17" s="1"/>
      <c r="V17" s="20"/>
      <c r="W17" s="20"/>
      <c r="X17" s="20"/>
      <c r="Y17" s="20"/>
      <c r="Z17" s="21"/>
      <c r="AA17" s="20"/>
      <c r="AB17" s="20"/>
      <c r="AC17" s="20"/>
      <c r="AD17" s="20"/>
      <c r="AE17" s="20"/>
      <c r="AF17" s="20"/>
      <c r="AG17" s="22"/>
      <c r="AH17" s="22"/>
      <c r="AI17" s="23"/>
    </row>
    <row r="18" spans="1:35" x14ac:dyDescent="0.3">
      <c r="A18" s="19">
        <f>'분석 결과'!A18</f>
        <v>10</v>
      </c>
      <c r="B18" s="19" t="str">
        <f>'분석 결과'!B18</f>
        <v>4782300042-05</v>
      </c>
      <c r="C18" s="19" t="str">
        <f>'분석 결과'!C18</f>
        <v>에이웰88 알카리수</v>
      </c>
      <c r="D18" s="53" t="str">
        <f>'분석 결과'!D18</f>
        <v>먹는샘물/먹는샘물제품수</v>
      </c>
      <c r="E18" s="53" t="str">
        <f>'분석 결과'!E18</f>
        <v>08-29</v>
      </c>
      <c r="F18" s="61" t="str">
        <f>IF(GetColor('분석 결과'!F18,FALSE,-1)=13421772,'분석 결과'!V18,"")</f>
        <v>불검출</v>
      </c>
      <c r="G18" s="61" t="str">
        <f>IF(GetColor('분석 결과'!G18,FALSE,-1)=13421772,'분석 결과'!W18,"")</f>
        <v>불검출</v>
      </c>
      <c r="H18" s="61" t="str">
        <f>IF(GetColor('분석 결과'!H18,FALSE,-1)=13421772,'분석 결과'!X18,"")</f>
        <v>불검출</v>
      </c>
      <c r="I18" s="61" t="str">
        <f>IF(GetColor('분석 결과'!I18,FALSE,-1)=13421772,'분석 결과'!Y18,"")</f>
        <v>불검출</v>
      </c>
      <c r="J18" s="61" t="str">
        <f>IF(GetColor('분석 결과'!J18,FALSE,-1)=13421772,'분석 결과'!Z18,"")</f>
        <v>불검출</v>
      </c>
      <c r="K18" s="61" t="str">
        <f>IF(GetColor('분석 결과'!K18,FALSE,-1)=13421772,'분석 결과'!AA18,"")</f>
        <v>불검출</v>
      </c>
      <c r="L18" s="61" t="str">
        <f>IF(GetColor('분석 결과'!L18,FALSE,-1)=13421772,'분석 결과'!AB18,"")</f>
        <v>불검출</v>
      </c>
      <c r="M18" s="61" t="str">
        <f>IF(GetColor('분석 결과'!M18,FALSE,-1)=13421772,'분석 결과'!AC18,"")</f>
        <v>불검출</v>
      </c>
      <c r="N18" s="61" t="str">
        <f>IF(GetColor('분석 결과'!N18,FALSE,-1)=13421772,'분석 결과'!AD18,"")</f>
        <v>불검출</v>
      </c>
      <c r="O18" s="61" t="str">
        <f>IF(GetColor('분석 결과'!O18,FALSE,-1)=13421772,'분석 결과'!AE18,"")</f>
        <v>불검출</v>
      </c>
      <c r="P18" s="61" t="str">
        <f>IF(GetColor('분석 결과'!P18,FALSE,-1)=13421772,'분석 결과'!AF18,"")</f>
        <v>불검출</v>
      </c>
      <c r="Q18" s="61" t="str">
        <f>IF(GetColor('분석 결과'!Q18,FALSE,-1)=13421772,'분석 결과'!AG18,"")</f>
        <v>불검출</v>
      </c>
      <c r="R18" s="61" t="str">
        <f>IF(GetColor('분석 결과'!R18,FALSE,-1)=13421772,'분석 결과'!AH18,"")</f>
        <v>불검출</v>
      </c>
      <c r="S18" s="61" t="str">
        <f>IF(GetColor('분석 결과'!S18,FALSE,-1)=13421772,'분석 결과'!AI18,"")</f>
        <v>불검출</v>
      </c>
      <c r="T18" s="60">
        <f>IF(GetColor('분석 결과'!T18,FALSE,-1)=13421772,'분석 결과'!AJ18,"")</f>
        <v>8.7000000000000001E-4</v>
      </c>
    </row>
    <row r="19" spans="1:35" x14ac:dyDescent="0.3">
      <c r="A19" s="19">
        <f>'분석 결과'!A19</f>
        <v>11</v>
      </c>
      <c r="B19" s="19" t="str">
        <f>'분석 결과'!B19</f>
        <v>4782300042-06</v>
      </c>
      <c r="C19" s="19" t="str">
        <f>'분석 결과'!C19</f>
        <v>리본 워터</v>
      </c>
      <c r="D19" s="53" t="str">
        <f>'분석 결과'!D19</f>
        <v>먹는샘물/먹는샘물제품수</v>
      </c>
      <c r="E19" s="53" t="str">
        <f>'분석 결과'!E19</f>
        <v>08-29</v>
      </c>
      <c r="F19" s="61" t="str">
        <f>IF(GetColor('분석 결과'!F19,FALSE,-1)=13421772,'분석 결과'!V19,"")</f>
        <v>불검출</v>
      </c>
      <c r="G19" s="61" t="str">
        <f>IF(GetColor('분석 결과'!G19,FALSE,-1)=13421772,'분석 결과'!W19,"")</f>
        <v>불검출</v>
      </c>
      <c r="H19" s="61" t="str">
        <f>IF(GetColor('분석 결과'!H19,FALSE,-1)=13421772,'분석 결과'!X19,"")</f>
        <v>불검출</v>
      </c>
      <c r="I19" s="61" t="str">
        <f>IF(GetColor('분석 결과'!I19,FALSE,-1)=13421772,'분석 결과'!Y19,"")</f>
        <v>불검출</v>
      </c>
      <c r="J19" s="61" t="str">
        <f>IF(GetColor('분석 결과'!J19,FALSE,-1)=13421772,'분석 결과'!Z19,"")</f>
        <v>불검출</v>
      </c>
      <c r="K19" s="61" t="str">
        <f>IF(GetColor('분석 결과'!K19,FALSE,-1)=13421772,'분석 결과'!AA19,"")</f>
        <v>불검출</v>
      </c>
      <c r="L19" s="61" t="str">
        <f>IF(GetColor('분석 결과'!L19,FALSE,-1)=13421772,'분석 결과'!AB19,"")</f>
        <v>불검출</v>
      </c>
      <c r="M19" s="61" t="str">
        <f>IF(GetColor('분석 결과'!M19,FALSE,-1)=13421772,'분석 결과'!AC19,"")</f>
        <v>불검출</v>
      </c>
      <c r="N19" s="61" t="str">
        <f>IF(GetColor('분석 결과'!N19,FALSE,-1)=13421772,'분석 결과'!AD19,"")</f>
        <v>불검출</v>
      </c>
      <c r="O19" s="61" t="str">
        <f>IF(GetColor('분석 결과'!O19,FALSE,-1)=13421772,'분석 결과'!AE19,"")</f>
        <v>불검출</v>
      </c>
      <c r="P19" s="61" t="str">
        <f>IF(GetColor('분석 결과'!P19,FALSE,-1)=13421772,'분석 결과'!AF19,"")</f>
        <v>불검출</v>
      </c>
      <c r="Q19" s="61" t="str">
        <f>IF(GetColor('분석 결과'!Q19,FALSE,-1)=13421772,'분석 결과'!AG19,"")</f>
        <v>불검출</v>
      </c>
      <c r="R19" s="61" t="str">
        <f>IF(GetColor('분석 결과'!R19,FALSE,-1)=13421772,'분석 결과'!AH19,"")</f>
        <v>불검출</v>
      </c>
      <c r="S19" s="61" t="str">
        <f>IF(GetColor('분석 결과'!S19,FALSE,-1)=13421772,'분석 결과'!AI19,"")</f>
        <v>불검출</v>
      </c>
      <c r="T19" s="60">
        <f>IF(GetColor('분석 결과'!T19,FALSE,-1)=13421772,'분석 결과'!AJ19,"")</f>
        <v>1.1100000000000001E-3</v>
      </c>
    </row>
    <row r="20" spans="1:35" x14ac:dyDescent="0.3">
      <c r="A20" s="19">
        <f>'분석 결과'!A20</f>
        <v>12</v>
      </c>
      <c r="B20" s="19" t="str">
        <f>'분석 결과'!B20</f>
        <v>4782300042-07</v>
      </c>
      <c r="C20" s="19" t="str">
        <f>'분석 결과'!C20</f>
        <v>면역수</v>
      </c>
      <c r="D20" s="53" t="str">
        <f>'분석 결과'!D20</f>
        <v>먹는샘물/먹는샘물제품수</v>
      </c>
      <c r="E20" s="53" t="str">
        <f>'분석 결과'!E20</f>
        <v>08-29</v>
      </c>
      <c r="F20" s="61" t="str">
        <f>IF(GetColor('분석 결과'!F20,FALSE,-1)=13421772,'분석 결과'!V20,"")</f>
        <v>불검출</v>
      </c>
      <c r="G20" s="61" t="str">
        <f>IF(GetColor('분석 결과'!G20,FALSE,-1)=13421772,'분석 결과'!W20,"")</f>
        <v>불검출</v>
      </c>
      <c r="H20" s="61" t="str">
        <f>IF(GetColor('분석 결과'!H20,FALSE,-1)=13421772,'분석 결과'!X20,"")</f>
        <v>불검출</v>
      </c>
      <c r="I20" s="61" t="str">
        <f>IF(GetColor('분석 결과'!I20,FALSE,-1)=13421772,'분석 결과'!Y20,"")</f>
        <v>불검출</v>
      </c>
      <c r="J20" s="61" t="str">
        <f>IF(GetColor('분석 결과'!J20,FALSE,-1)=13421772,'분석 결과'!Z20,"")</f>
        <v>불검출</v>
      </c>
      <c r="K20" s="61">
        <f>IF(GetColor('분석 결과'!K20,FALSE,-1)=13421772,'분석 결과'!AA20,"")</f>
        <v>0.13600000000000001</v>
      </c>
      <c r="L20" s="61" t="str">
        <f>IF(GetColor('분석 결과'!L20,FALSE,-1)=13421772,'분석 결과'!AB20,"")</f>
        <v>불검출</v>
      </c>
      <c r="M20" s="61">
        <f>IF(GetColor('분석 결과'!M20,FALSE,-1)=13421772,'분석 결과'!AC20,"")</f>
        <v>1.0800000000000001E-2</v>
      </c>
      <c r="N20" s="61" t="str">
        <f>IF(GetColor('분석 결과'!N20,FALSE,-1)=13421772,'분석 결과'!AD20,"")</f>
        <v>불검출</v>
      </c>
      <c r="O20" s="61" t="str">
        <f>IF(GetColor('분석 결과'!O20,FALSE,-1)=13421772,'분석 결과'!AE20,"")</f>
        <v>불검출</v>
      </c>
      <c r="P20" s="61">
        <f>IF(GetColor('분석 결과'!P20,FALSE,-1)=13421772,'분석 결과'!AF20,"")</f>
        <v>0.626</v>
      </c>
      <c r="Q20" s="61">
        <f>IF(GetColor('분석 결과'!Q20,FALSE,-1)=13421772,'분석 결과'!AG20,"")</f>
        <v>8.4376999999999995</v>
      </c>
      <c r="R20" s="61">
        <f>IF(GetColor('분석 결과'!R20,FALSE,-1)=13421772,'분석 결과'!AH20,"")</f>
        <v>1.4999999999999999E-4</v>
      </c>
      <c r="S20" s="61" t="str">
        <f>IF(GetColor('분석 결과'!S20,FALSE,-1)=13421772,'분석 결과'!AI20,"")</f>
        <v>불검출</v>
      </c>
      <c r="T20" s="60">
        <f>IF(GetColor('분석 결과'!T20,FALSE,-1)=13421772,'분석 결과'!AJ20,"")</f>
        <v>1.16E-3</v>
      </c>
    </row>
    <row r="21" spans="1:35" x14ac:dyDescent="0.3">
      <c r="A21" s="19">
        <f>'분석 결과'!A21</f>
        <v>13</v>
      </c>
      <c r="B21" s="19" t="str">
        <f>'분석 결과'!B21</f>
        <v>4782300042-08</v>
      </c>
      <c r="C21" s="19" t="str">
        <f>'분석 결과'!C21</f>
        <v>에이수 프리미엄 알칼리수</v>
      </c>
      <c r="D21" s="53" t="str">
        <f>'분석 결과'!D21</f>
        <v>먹는샘물/먹는샘물제품수</v>
      </c>
      <c r="E21" s="53" t="str">
        <f>'분석 결과'!E21</f>
        <v>08-29</v>
      </c>
      <c r="F21" s="61" t="str">
        <f>IF(GetColor('분석 결과'!F21,FALSE,-1)=13421772,'분석 결과'!V21,"")</f>
        <v>불검출</v>
      </c>
      <c r="G21" s="61" t="str">
        <f>IF(GetColor('분석 결과'!G21,FALSE,-1)=13421772,'분석 결과'!W21,"")</f>
        <v>불검출</v>
      </c>
      <c r="H21" s="61" t="str">
        <f>IF(GetColor('분석 결과'!H21,FALSE,-1)=13421772,'분석 결과'!X21,"")</f>
        <v>불검출</v>
      </c>
      <c r="I21" s="61" t="str">
        <f>IF(GetColor('분석 결과'!I21,FALSE,-1)=13421772,'분석 결과'!Y21,"")</f>
        <v>불검출</v>
      </c>
      <c r="J21" s="61" t="str">
        <f>IF(GetColor('분석 결과'!J21,FALSE,-1)=13421772,'분석 결과'!Z21,"")</f>
        <v>불검출</v>
      </c>
      <c r="K21" s="61" t="str">
        <f>IF(GetColor('분석 결과'!K21,FALSE,-1)=13421772,'분석 결과'!AA21,"")</f>
        <v>불검출</v>
      </c>
      <c r="L21" s="61" t="str">
        <f>IF(GetColor('분석 결과'!L21,FALSE,-1)=13421772,'분석 결과'!AB21,"")</f>
        <v>불검출</v>
      </c>
      <c r="M21" s="61" t="str">
        <f>IF(GetColor('분석 결과'!M21,FALSE,-1)=13421772,'분석 결과'!AC21,"")</f>
        <v>불검출</v>
      </c>
      <c r="N21" s="61" t="str">
        <f>IF(GetColor('분석 결과'!N21,FALSE,-1)=13421772,'분석 결과'!AD21,"")</f>
        <v>불검출</v>
      </c>
      <c r="O21" s="61" t="str">
        <f>IF(GetColor('분석 결과'!O21,FALSE,-1)=13421772,'분석 결과'!AE21,"")</f>
        <v>불검출</v>
      </c>
      <c r="P21" s="61" t="str">
        <f>IF(GetColor('분석 결과'!P21,FALSE,-1)=13421772,'분석 결과'!AF21,"")</f>
        <v>불검출</v>
      </c>
      <c r="Q21" s="61" t="str">
        <f>IF(GetColor('분석 결과'!Q21,FALSE,-1)=13421772,'분석 결과'!AG21,"")</f>
        <v>불검출</v>
      </c>
      <c r="R21" s="61" t="str">
        <f>IF(GetColor('분석 결과'!R21,FALSE,-1)=13421772,'분석 결과'!AH21,"")</f>
        <v>불검출</v>
      </c>
      <c r="S21" s="61" t="str">
        <f>IF(GetColor('분석 결과'!S21,FALSE,-1)=13421772,'분석 결과'!AI21,"")</f>
        <v>불검출</v>
      </c>
      <c r="T21" s="60">
        <f>IF(GetColor('분석 결과'!T21,FALSE,-1)=13421772,'분석 결과'!AJ21,"")</f>
        <v>6.2E-4</v>
      </c>
    </row>
    <row r="22" spans="1:35" x14ac:dyDescent="0.3">
      <c r="A22" s="19">
        <f>'분석 결과'!A22</f>
        <v>14</v>
      </c>
      <c r="B22" s="19" t="str">
        <f>'분석 결과'!B22</f>
        <v>4782300042-09</v>
      </c>
      <c r="C22" s="19" t="str">
        <f>'분석 결과'!C22</f>
        <v>유니온 천년 알칼리수</v>
      </c>
      <c r="D22" s="53" t="str">
        <f>'분석 결과'!D22</f>
        <v>먹는샘물/먹는샘물제품수</v>
      </c>
      <c r="E22" s="53" t="str">
        <f>'분석 결과'!E22</f>
        <v>08-29</v>
      </c>
      <c r="F22" s="61" t="str">
        <f>IF(GetColor('분석 결과'!F22,FALSE,-1)=13421772,'분석 결과'!V22,"")</f>
        <v>불검출</v>
      </c>
      <c r="G22" s="61" t="str">
        <f>IF(GetColor('분석 결과'!G22,FALSE,-1)=13421772,'분석 결과'!W22,"")</f>
        <v>불검출</v>
      </c>
      <c r="H22" s="61" t="str">
        <f>IF(GetColor('분석 결과'!H22,FALSE,-1)=13421772,'분석 결과'!X22,"")</f>
        <v>불검출</v>
      </c>
      <c r="I22" s="61" t="str">
        <f>IF(GetColor('분석 결과'!I22,FALSE,-1)=13421772,'분석 결과'!Y22,"")</f>
        <v>불검출</v>
      </c>
      <c r="J22" s="61" t="str">
        <f>IF(GetColor('분석 결과'!J22,FALSE,-1)=13421772,'분석 결과'!Z22,"")</f>
        <v>불검출</v>
      </c>
      <c r="K22" s="61" t="str">
        <f>IF(GetColor('분석 결과'!K22,FALSE,-1)=13421772,'분석 결과'!AA22,"")</f>
        <v>불검출</v>
      </c>
      <c r="L22" s="61" t="str">
        <f>IF(GetColor('분석 결과'!L22,FALSE,-1)=13421772,'분석 결과'!AB22,"")</f>
        <v>불검출</v>
      </c>
      <c r="M22" s="61" t="str">
        <f>IF(GetColor('분석 결과'!M22,FALSE,-1)=13421772,'분석 결과'!AC22,"")</f>
        <v>불검출</v>
      </c>
      <c r="N22" s="61" t="str">
        <f>IF(GetColor('분석 결과'!N22,FALSE,-1)=13421772,'분석 결과'!AD22,"")</f>
        <v>불검출</v>
      </c>
      <c r="O22" s="61" t="str">
        <f>IF(GetColor('분석 결과'!O22,FALSE,-1)=13421772,'분석 결과'!AE22,"")</f>
        <v>불검출</v>
      </c>
      <c r="P22" s="61" t="str">
        <f>IF(GetColor('분석 결과'!P22,FALSE,-1)=13421772,'분석 결과'!AF22,"")</f>
        <v>불검출</v>
      </c>
      <c r="Q22" s="61" t="str">
        <f>IF(GetColor('분석 결과'!Q22,FALSE,-1)=13421772,'분석 결과'!AG22,"")</f>
        <v>불검출</v>
      </c>
      <c r="R22" s="61">
        <f>IF(GetColor('분석 결과'!R22,FALSE,-1)=13421772,'분석 결과'!AH22,"")</f>
        <v>1.2999999999999999E-4</v>
      </c>
      <c r="S22" s="61" t="str">
        <f>IF(GetColor('분석 결과'!S22,FALSE,-1)=13421772,'분석 결과'!AI22,"")</f>
        <v>불검출</v>
      </c>
      <c r="T22" s="60">
        <f>IF(GetColor('분석 결과'!T22,FALSE,-1)=13421772,'분석 결과'!AJ22,"")</f>
        <v>6.3000000000000003E-4</v>
      </c>
    </row>
    <row r="23" spans="1:35" x14ac:dyDescent="0.3">
      <c r="A23" s="19">
        <f>'분석 결과'!A23</f>
        <v>15</v>
      </c>
      <c r="B23" s="19" t="str">
        <f>'분석 결과'!B23</f>
        <v>4782300042-10</v>
      </c>
      <c r="C23" s="19" t="str">
        <f>'분석 결과'!C23</f>
        <v>오투유</v>
      </c>
      <c r="D23" s="53" t="str">
        <f>'분석 결과'!D23</f>
        <v>먹는샘물/먹는샘물제품수</v>
      </c>
      <c r="E23" s="53" t="str">
        <f>'분석 결과'!E23</f>
        <v>08-29</v>
      </c>
      <c r="F23" s="61" t="str">
        <f>IF(GetColor('분석 결과'!F23,FALSE,-1)=13421772,'분석 결과'!V23,"")</f>
        <v>불검출</v>
      </c>
      <c r="G23" s="61" t="str">
        <f>IF(GetColor('분석 결과'!G23,FALSE,-1)=13421772,'분석 결과'!W23,"")</f>
        <v>불검출</v>
      </c>
      <c r="H23" s="61" t="str">
        <f>IF(GetColor('분석 결과'!H23,FALSE,-1)=13421772,'분석 결과'!X23,"")</f>
        <v>불검출</v>
      </c>
      <c r="I23" s="61" t="str">
        <f>IF(GetColor('분석 결과'!I23,FALSE,-1)=13421772,'분석 결과'!Y23,"")</f>
        <v>불검출</v>
      </c>
      <c r="J23" s="61" t="str">
        <f>IF(GetColor('분석 결과'!J23,FALSE,-1)=13421772,'분석 결과'!Z23,"")</f>
        <v>불검출</v>
      </c>
      <c r="K23" s="61" t="str">
        <f>IF(GetColor('분석 결과'!K23,FALSE,-1)=13421772,'분석 결과'!AA23,"")</f>
        <v>불검출</v>
      </c>
      <c r="L23" s="61" t="str">
        <f>IF(GetColor('분석 결과'!L23,FALSE,-1)=13421772,'분석 결과'!AB23,"")</f>
        <v>불검출</v>
      </c>
      <c r="M23" s="61" t="str">
        <f>IF(GetColor('분석 결과'!M23,FALSE,-1)=13421772,'분석 결과'!AC23,"")</f>
        <v>불검출</v>
      </c>
      <c r="N23" s="61" t="str">
        <f>IF(GetColor('분석 결과'!N23,FALSE,-1)=13421772,'분석 결과'!AD23,"")</f>
        <v>불검출</v>
      </c>
      <c r="O23" s="61">
        <f>IF(GetColor('분석 결과'!O23,FALSE,-1)=13421772,'분석 결과'!AE23,"")</f>
        <v>7.5999999999999998E-2</v>
      </c>
      <c r="P23" s="61" t="str">
        <f>IF(GetColor('분석 결과'!P23,FALSE,-1)=13421772,'분석 결과'!AF23,"")</f>
        <v>불검출</v>
      </c>
      <c r="Q23" s="61">
        <f>IF(GetColor('분석 결과'!Q23,FALSE,-1)=13421772,'분석 결과'!AG23,"")</f>
        <v>2.58E-2</v>
      </c>
      <c r="R23" s="61">
        <f>IF(GetColor('분석 결과'!R23,FALSE,-1)=13421772,'분석 결과'!AH23,"")</f>
        <v>2.32E-3</v>
      </c>
      <c r="S23" s="61">
        <f>IF(GetColor('분석 결과'!S23,FALSE,-1)=13421772,'분석 결과'!AI23,"")</f>
        <v>1.3050000000000001E-2</v>
      </c>
      <c r="T23" s="60">
        <f>IF(GetColor('분석 결과'!T23,FALSE,-1)=13421772,'분석 결과'!AJ23,"")</f>
        <v>1.2899999999999999E-3</v>
      </c>
    </row>
    <row r="24" spans="1:35" x14ac:dyDescent="0.3">
      <c r="A24" s="19">
        <f>'분석 결과'!A24</f>
        <v>16</v>
      </c>
      <c r="B24" s="19" t="str">
        <f>'분석 결과'!B24</f>
        <v>4782300042-11</v>
      </c>
      <c r="C24" s="19" t="str">
        <f>'분석 결과'!C24</f>
        <v>산소통통</v>
      </c>
      <c r="D24" s="53" t="str">
        <f>'분석 결과'!D24</f>
        <v>먹는샘물/먹는샘물제품수</v>
      </c>
      <c r="E24" s="53" t="str">
        <f>'분석 결과'!E24</f>
        <v>08-29</v>
      </c>
      <c r="F24" s="61" t="str">
        <f>IF(GetColor('분석 결과'!F24,FALSE,-1)=13421772,'분석 결과'!V24,"")</f>
        <v>불검출</v>
      </c>
      <c r="G24" s="61" t="str">
        <f>IF(GetColor('분석 결과'!G24,FALSE,-1)=13421772,'분석 결과'!W24,"")</f>
        <v>불검출</v>
      </c>
      <c r="H24" s="61" t="str">
        <f>IF(GetColor('분석 결과'!H24,FALSE,-1)=13421772,'분석 결과'!X24,"")</f>
        <v>불검출</v>
      </c>
      <c r="I24" s="61" t="str">
        <f>IF(GetColor('분석 결과'!I24,FALSE,-1)=13421772,'분석 결과'!Y24,"")</f>
        <v>불검출</v>
      </c>
      <c r="J24" s="61" t="str">
        <f>IF(GetColor('분석 결과'!J24,FALSE,-1)=13421772,'분석 결과'!Z24,"")</f>
        <v>불검출</v>
      </c>
      <c r="K24" s="61" t="str">
        <f>IF(GetColor('분석 결과'!K24,FALSE,-1)=13421772,'분석 결과'!AA24,"")</f>
        <v>불검출</v>
      </c>
      <c r="L24" s="61">
        <f>IF(GetColor('분석 결과'!L24,FALSE,-1)=13421772,'분석 결과'!AB24,"")</f>
        <v>3.4500000000000003E-2</v>
      </c>
      <c r="M24" s="61" t="str">
        <f>IF(GetColor('분석 결과'!M24,FALSE,-1)=13421772,'분석 결과'!AC24,"")</f>
        <v>불검출</v>
      </c>
      <c r="N24" s="61" t="str">
        <f>IF(GetColor('분석 결과'!N24,FALSE,-1)=13421772,'분석 결과'!AD24,"")</f>
        <v>불검출</v>
      </c>
      <c r="O24" s="61">
        <f>IF(GetColor('분석 결과'!O24,FALSE,-1)=13421772,'분석 결과'!AE24,"")</f>
        <v>7.5999999999999998E-2</v>
      </c>
      <c r="P24" s="61" t="str">
        <f>IF(GetColor('분석 결과'!P24,FALSE,-1)=13421772,'분석 결과'!AF24,"")</f>
        <v>불검출</v>
      </c>
      <c r="Q24" s="61">
        <f>IF(GetColor('분석 결과'!Q24,FALSE,-1)=13421772,'분석 결과'!AG24,"")</f>
        <v>1.09E-2</v>
      </c>
      <c r="R24" s="61">
        <f>IF(GetColor('분석 결과'!R24,FALSE,-1)=13421772,'분석 결과'!AH24,"")</f>
        <v>2.3900000000000002E-3</v>
      </c>
      <c r="S24" s="61">
        <f>IF(GetColor('분석 결과'!S24,FALSE,-1)=13421772,'분석 결과'!AI24,"")</f>
        <v>1.307E-2</v>
      </c>
      <c r="T24" s="60">
        <f>IF(GetColor('분석 결과'!T24,FALSE,-1)=13421772,'분석 결과'!AJ24,"")</f>
        <v>1.5200000000000001E-3</v>
      </c>
    </row>
    <row r="25" spans="1:35" x14ac:dyDescent="0.3">
      <c r="A25" s="19">
        <f>'분석 결과'!A25</f>
        <v>17</v>
      </c>
      <c r="B25" s="19" t="str">
        <f>'분석 결과'!B25</f>
        <v>4782300042-12</v>
      </c>
      <c r="C25" s="19" t="str">
        <f>'분석 결과'!C25</f>
        <v>제주 용암수</v>
      </c>
      <c r="D25" s="53" t="str">
        <f>'분석 결과'!D25</f>
        <v>먹는샘물/먹는샘물제품수</v>
      </c>
      <c r="E25" s="53" t="str">
        <f>'분석 결과'!E25</f>
        <v>08-29</v>
      </c>
      <c r="F25" s="61" t="str">
        <f>IF(GetColor('분석 결과'!F25,FALSE,-1)=13421772,'분석 결과'!V25,"")</f>
        <v>불검출</v>
      </c>
      <c r="G25" s="61" t="str">
        <f>IF(GetColor('분석 결과'!G25,FALSE,-1)=13421772,'분석 결과'!W25,"")</f>
        <v>불검출</v>
      </c>
      <c r="H25" s="61" t="str">
        <f>IF(GetColor('분석 결과'!H25,FALSE,-1)=13421772,'분석 결과'!X25,"")</f>
        <v>불검출</v>
      </c>
      <c r="I25" s="61" t="str">
        <f>IF(GetColor('분석 결과'!I25,FALSE,-1)=13421772,'분석 결과'!Y25,"")</f>
        <v>불검출</v>
      </c>
      <c r="J25" s="61" t="str">
        <f>IF(GetColor('분석 결과'!J25,FALSE,-1)=13421772,'분석 결과'!Z25,"")</f>
        <v>불검출</v>
      </c>
      <c r="K25" s="61" t="str">
        <f>IF(GetColor('분석 결과'!K25,FALSE,-1)=13421772,'분석 결과'!AA25,"")</f>
        <v>불검출</v>
      </c>
      <c r="L25" s="61" t="str">
        <f>IF(GetColor('분석 결과'!L25,FALSE,-1)=13421772,'분석 결과'!AB25,"")</f>
        <v>불검출</v>
      </c>
      <c r="M25" s="61" t="str">
        <f>IF(GetColor('분석 결과'!M25,FALSE,-1)=13421772,'분석 결과'!AC25,"")</f>
        <v>불검출</v>
      </c>
      <c r="N25" s="61" t="str">
        <f>IF(GetColor('분석 결과'!N25,FALSE,-1)=13421772,'분석 결과'!AD25,"")</f>
        <v>불검출</v>
      </c>
      <c r="O25" s="61" t="str">
        <f>IF(GetColor('분석 결과'!O25,FALSE,-1)=13421772,'분석 결과'!AE25,"")</f>
        <v>불검출</v>
      </c>
      <c r="P25" s="61">
        <f>IF(GetColor('분석 결과'!P25,FALSE,-1)=13421772,'분석 결과'!AF25,"")</f>
        <v>0.72699999999999998</v>
      </c>
      <c r="Q25" s="61" t="str">
        <f>IF(GetColor('분석 결과'!Q25,FALSE,-1)=13421772,'분석 결과'!AG25,"")</f>
        <v>불검출</v>
      </c>
      <c r="R25" s="61" t="str">
        <f>IF(GetColor('분석 결과'!R25,FALSE,-1)=13421772,'분석 결과'!AH25,"")</f>
        <v>불검출</v>
      </c>
      <c r="S25" s="61" t="str">
        <f>IF(GetColor('분석 결과'!S25,FALSE,-1)=13421772,'분석 결과'!AI25,"")</f>
        <v>불검출</v>
      </c>
      <c r="T25" s="60">
        <f>IF(GetColor('분석 결과'!T25,FALSE,-1)=13421772,'분석 결과'!AJ25,"")</f>
        <v>9.1E-4</v>
      </c>
    </row>
    <row r="26" spans="1:35" x14ac:dyDescent="0.3">
      <c r="A26" s="19">
        <f>'분석 결과'!A26</f>
        <v>18</v>
      </c>
      <c r="B26" s="19" t="str">
        <f>'분석 결과'!B26</f>
        <v>4782300042-13</v>
      </c>
      <c r="C26" s="19" t="str">
        <f>'분석 결과'!C26</f>
        <v>수피아 17배 산소수</v>
      </c>
      <c r="D26" s="53" t="str">
        <f>'분석 결과'!D26</f>
        <v>먹는샘물/먹는샘물제품수</v>
      </c>
      <c r="E26" s="53" t="str">
        <f>'분석 결과'!E26</f>
        <v>08-29</v>
      </c>
      <c r="F26" s="61" t="str">
        <f>IF(GetColor('분석 결과'!F26,FALSE,-1)=13421772,'분석 결과'!V26,"")</f>
        <v>불검출</v>
      </c>
      <c r="G26" s="61" t="str">
        <f>IF(GetColor('분석 결과'!G26,FALSE,-1)=13421772,'분석 결과'!W26,"")</f>
        <v>불검출</v>
      </c>
      <c r="H26" s="61" t="str">
        <f>IF(GetColor('분석 결과'!H26,FALSE,-1)=13421772,'분석 결과'!X26,"")</f>
        <v>불검출</v>
      </c>
      <c r="I26" s="61" t="str">
        <f>IF(GetColor('분석 결과'!I26,FALSE,-1)=13421772,'분석 결과'!Y26,"")</f>
        <v>불검출</v>
      </c>
      <c r="J26" s="61" t="str">
        <f>IF(GetColor('분석 결과'!J26,FALSE,-1)=13421772,'분석 결과'!Z26,"")</f>
        <v>불검출</v>
      </c>
      <c r="K26" s="61" t="str">
        <f>IF(GetColor('분석 결과'!K26,FALSE,-1)=13421772,'분석 결과'!AA26,"")</f>
        <v>불검출</v>
      </c>
      <c r="L26" s="61" t="str">
        <f>IF(GetColor('분석 결과'!L26,FALSE,-1)=13421772,'분석 결과'!AB26,"")</f>
        <v>불검출</v>
      </c>
      <c r="M26" s="61">
        <f>IF(GetColor('분석 결과'!M26,FALSE,-1)=13421772,'분석 결과'!AC26,"")</f>
        <v>4.1999999999999997E-3</v>
      </c>
      <c r="N26" s="61" t="str">
        <f>IF(GetColor('분석 결과'!N26,FALSE,-1)=13421772,'분석 결과'!AD26,"")</f>
        <v>불검출</v>
      </c>
      <c r="O26" s="61" t="str">
        <f>IF(GetColor('분석 결과'!O26,FALSE,-1)=13421772,'분석 결과'!AE26,"")</f>
        <v>불검출</v>
      </c>
      <c r="P26" s="61" t="str">
        <f>IF(GetColor('분석 결과'!P26,FALSE,-1)=13421772,'분석 결과'!AF26,"")</f>
        <v>불검출</v>
      </c>
      <c r="Q26" s="61">
        <f>IF(GetColor('분석 결과'!Q26,FALSE,-1)=13421772,'분석 결과'!AG26,"")</f>
        <v>1.0200000000000001E-2</v>
      </c>
      <c r="R26" s="61" t="str">
        <f>IF(GetColor('분석 결과'!R26,FALSE,-1)=13421772,'분석 결과'!AH26,"")</f>
        <v>불검출</v>
      </c>
      <c r="S26" s="61" t="str">
        <f>IF(GetColor('분석 결과'!S26,FALSE,-1)=13421772,'분석 결과'!AI26,"")</f>
        <v>불검출</v>
      </c>
      <c r="T26" s="60">
        <f>IF(GetColor('분석 결과'!T26,FALSE,-1)=13421772,'분석 결과'!AJ26,"")</f>
        <v>4.0999999999999999E-4</v>
      </c>
    </row>
    <row r="27" spans="1:35" x14ac:dyDescent="0.3">
      <c r="A27" s="19">
        <f>'분석 결과'!A27</f>
        <v>19</v>
      </c>
      <c r="B27" s="19" t="str">
        <f>'분석 결과'!B27</f>
        <v>4782300042-14</v>
      </c>
      <c r="C27" s="19" t="str">
        <f>'분석 결과'!C27</f>
        <v>산소랑</v>
      </c>
      <c r="D27" s="53" t="str">
        <f>'분석 결과'!D27</f>
        <v>먹는샘물/먹는샘물제품수</v>
      </c>
      <c r="E27" s="53" t="str">
        <f>'분석 결과'!E27</f>
        <v>08-29</v>
      </c>
      <c r="F27" s="61" t="str">
        <f>IF(GetColor('분석 결과'!F27,FALSE,-1)=13421772,'분석 결과'!V27,"")</f>
        <v>불검출</v>
      </c>
      <c r="G27" s="61" t="str">
        <f>IF(GetColor('분석 결과'!G27,FALSE,-1)=13421772,'분석 결과'!W27,"")</f>
        <v>불검출</v>
      </c>
      <c r="H27" s="61" t="str">
        <f>IF(GetColor('분석 결과'!H27,FALSE,-1)=13421772,'분석 결과'!X27,"")</f>
        <v>불검출</v>
      </c>
      <c r="I27" s="61" t="str">
        <f>IF(GetColor('분석 결과'!I27,FALSE,-1)=13421772,'분석 결과'!Y27,"")</f>
        <v>불검출</v>
      </c>
      <c r="J27" s="61" t="str">
        <f>IF(GetColor('분석 결과'!J27,FALSE,-1)=13421772,'분석 결과'!Z27,"")</f>
        <v>불검출</v>
      </c>
      <c r="K27" s="61" t="str">
        <f>IF(GetColor('분석 결과'!K27,FALSE,-1)=13421772,'분석 결과'!AA27,"")</f>
        <v>불검출</v>
      </c>
      <c r="L27" s="61" t="str">
        <f>IF(GetColor('분석 결과'!L27,FALSE,-1)=13421772,'분석 결과'!AB27,"")</f>
        <v>불검출</v>
      </c>
      <c r="M27" s="61" t="str">
        <f>IF(GetColor('분석 결과'!M27,FALSE,-1)=13421772,'분석 결과'!AC27,"")</f>
        <v>불검출</v>
      </c>
      <c r="N27" s="61" t="str">
        <f>IF(GetColor('분석 결과'!N27,FALSE,-1)=13421772,'분석 결과'!AD27,"")</f>
        <v>불검출</v>
      </c>
      <c r="O27" s="61" t="str">
        <f>IF(GetColor('분석 결과'!O27,FALSE,-1)=13421772,'분석 결과'!AE27,"")</f>
        <v>불검출</v>
      </c>
      <c r="P27" s="61" t="str">
        <f>IF(GetColor('분석 결과'!P27,FALSE,-1)=13421772,'분석 결과'!AF27,"")</f>
        <v>불검출</v>
      </c>
      <c r="Q27" s="61" t="str">
        <f>IF(GetColor('분석 결과'!Q27,FALSE,-1)=13421772,'분석 결과'!AG27,"")</f>
        <v>불검출</v>
      </c>
      <c r="R27" s="61">
        <f>IF(GetColor('분석 결과'!R27,FALSE,-1)=13421772,'분석 결과'!AH27,"")</f>
        <v>1.2099999999999999E-3</v>
      </c>
      <c r="S27" s="61">
        <f>IF(GetColor('분석 결과'!S27,FALSE,-1)=13421772,'분석 결과'!AI27,"")</f>
        <v>7.1000000000000002E-4</v>
      </c>
      <c r="T27" s="60">
        <f>IF(GetColor('분석 결과'!T27,FALSE,-1)=13421772,'분석 결과'!AJ27,"")</f>
        <v>1.2999999999999999E-4</v>
      </c>
    </row>
    <row r="28" spans="1:35" x14ac:dyDescent="0.3">
      <c r="A28" s="19">
        <f>'분석 결과'!A28</f>
        <v>20</v>
      </c>
      <c r="B28" s="19" t="str">
        <f>'분석 결과'!B28</f>
        <v>4782300042-15</v>
      </c>
      <c r="C28" s="19" t="str">
        <f>'분석 결과'!C28</f>
        <v>다현산소수</v>
      </c>
      <c r="D28" s="53" t="str">
        <f>'분석 결과'!D28</f>
        <v>먹는샘물/먹는샘물제품수</v>
      </c>
      <c r="E28" s="53" t="str">
        <f>'분석 결과'!E28</f>
        <v>08-29</v>
      </c>
      <c r="F28" s="61" t="str">
        <f>IF(GetColor('분석 결과'!F28,FALSE,-1)=13421772,'분석 결과'!V28,"")</f>
        <v>불검출</v>
      </c>
      <c r="G28" s="61" t="str">
        <f>IF(GetColor('분석 결과'!G28,FALSE,-1)=13421772,'분석 결과'!W28,"")</f>
        <v>불검출</v>
      </c>
      <c r="H28" s="61" t="str">
        <f>IF(GetColor('분석 결과'!H28,FALSE,-1)=13421772,'분석 결과'!X28,"")</f>
        <v>불검출</v>
      </c>
      <c r="I28" s="61" t="str">
        <f>IF(GetColor('분석 결과'!I28,FALSE,-1)=13421772,'분석 결과'!Y28,"")</f>
        <v>불검출</v>
      </c>
      <c r="J28" s="61" t="str">
        <f>IF(GetColor('분석 결과'!J28,FALSE,-1)=13421772,'분석 결과'!Z28,"")</f>
        <v>불검출</v>
      </c>
      <c r="K28" s="61" t="str">
        <f>IF(GetColor('분석 결과'!K28,FALSE,-1)=13421772,'분석 결과'!AA28,"")</f>
        <v>불검출</v>
      </c>
      <c r="L28" s="61" t="str">
        <f>IF(GetColor('분석 결과'!L28,FALSE,-1)=13421772,'분석 결과'!AB28,"")</f>
        <v>불검출</v>
      </c>
      <c r="M28" s="61" t="str">
        <f>IF(GetColor('분석 결과'!M28,FALSE,-1)=13421772,'분석 결과'!AC28,"")</f>
        <v>불검출</v>
      </c>
      <c r="N28" s="61" t="str">
        <f>IF(GetColor('분석 결과'!N28,FALSE,-1)=13421772,'분석 결과'!AD28,"")</f>
        <v>불검출</v>
      </c>
      <c r="O28" s="61">
        <f>IF(GetColor('분석 결과'!O28,FALSE,-1)=13421772,'분석 결과'!AE28,"")</f>
        <v>3.9E-2</v>
      </c>
      <c r="P28" s="61" t="str">
        <f>IF(GetColor('분석 결과'!P28,FALSE,-1)=13421772,'분석 결과'!AF28,"")</f>
        <v>불검출</v>
      </c>
      <c r="Q28" s="61">
        <f>IF(GetColor('분석 결과'!Q28,FALSE,-1)=13421772,'분석 결과'!AG28,"")</f>
        <v>1.23E-2</v>
      </c>
      <c r="R28" s="61">
        <f>IF(GetColor('분석 결과'!R28,FALSE,-1)=13421772,'분석 결과'!AH28,"")</f>
        <v>5.3699999999999998E-3</v>
      </c>
      <c r="S28" s="61">
        <f>IF(GetColor('분석 결과'!S28,FALSE,-1)=13421772,'분석 결과'!AI28,"")</f>
        <v>1.357E-2</v>
      </c>
      <c r="T28" s="60">
        <f>IF(GetColor('분석 결과'!T28,FALSE,-1)=13421772,'분석 결과'!AJ28,"")</f>
        <v>1.5E-3</v>
      </c>
    </row>
    <row r="29" spans="1:35" x14ac:dyDescent="0.3">
      <c r="A29" s="19">
        <f>'분석 결과'!A29</f>
        <v>21</v>
      </c>
      <c r="B29" s="19" t="str">
        <f>'분석 결과'!B29</f>
        <v>4782300042-16</v>
      </c>
      <c r="C29" s="19" t="str">
        <f>'분석 결과'!C29</f>
        <v>이뮤니프 메가 미네랄 워터</v>
      </c>
      <c r="D29" s="53" t="str">
        <f>'분석 결과'!D29</f>
        <v>먹는샘물/먹는샘물제품수</v>
      </c>
      <c r="E29" s="53" t="str">
        <f>'분석 결과'!E29</f>
        <v>08-29</v>
      </c>
      <c r="F29" s="61" t="str">
        <f>IF(GetColor('분석 결과'!F29,FALSE,-1)=13421772,'분석 결과'!V29,"")</f>
        <v>불검출</v>
      </c>
      <c r="G29" s="61" t="str">
        <f>IF(GetColor('분석 결과'!G29,FALSE,-1)=13421772,'분석 결과'!W29,"")</f>
        <v>불검출</v>
      </c>
      <c r="H29" s="61" t="str">
        <f>IF(GetColor('분석 결과'!H29,FALSE,-1)=13421772,'분석 결과'!X29,"")</f>
        <v>불검출</v>
      </c>
      <c r="I29" s="61" t="str">
        <f>IF(GetColor('분석 결과'!I29,FALSE,-1)=13421772,'분석 결과'!Y29,"")</f>
        <v>불검출</v>
      </c>
      <c r="J29" s="61" t="str">
        <f>IF(GetColor('분석 결과'!J29,FALSE,-1)=13421772,'분석 결과'!Z29,"")</f>
        <v>불검출</v>
      </c>
      <c r="K29" s="61" t="str">
        <f>IF(GetColor('분석 결과'!K29,FALSE,-1)=13421772,'분석 결과'!AA29,"")</f>
        <v>불검출</v>
      </c>
      <c r="L29" s="61" t="str">
        <f>IF(GetColor('분석 결과'!L29,FALSE,-1)=13421772,'분석 결과'!AB29,"")</f>
        <v>불검출</v>
      </c>
      <c r="M29" s="61">
        <f>IF(GetColor('분석 결과'!M29,FALSE,-1)=13421772,'분석 결과'!AC29,"")</f>
        <v>5.8999999999999999E-3</v>
      </c>
      <c r="N29" s="61" t="str">
        <f>IF(GetColor('분석 결과'!N29,FALSE,-1)=13421772,'분석 결과'!AD29,"")</f>
        <v>불검출</v>
      </c>
      <c r="O29" s="61" t="str">
        <f>IF(GetColor('분석 결과'!O29,FALSE,-1)=13421772,'분석 결과'!AE29,"")</f>
        <v>불검출</v>
      </c>
      <c r="P29" s="61" t="str">
        <f>IF(GetColor('분석 결과'!P29,FALSE,-1)=13421772,'분석 결과'!AF29,"")</f>
        <v>불검출</v>
      </c>
      <c r="Q29" s="61">
        <f>IF(GetColor('분석 결과'!Q29,FALSE,-1)=13421772,'분석 결과'!AG29,"")</f>
        <v>1.34E-2</v>
      </c>
      <c r="R29" s="61" t="str">
        <f>IF(GetColor('분석 결과'!R29,FALSE,-1)=13421772,'분석 결과'!AH29,"")</f>
        <v>불검출</v>
      </c>
      <c r="S29" s="61" t="str">
        <f>IF(GetColor('분석 결과'!S29,FALSE,-1)=13421772,'분석 결과'!AI29,"")</f>
        <v>불검출</v>
      </c>
      <c r="T29" s="60">
        <f>IF(GetColor('분석 결과'!T29,FALSE,-1)=13421772,'분석 결과'!AJ29,"")</f>
        <v>3.8000000000000002E-4</v>
      </c>
    </row>
    <row r="30" spans="1:35" x14ac:dyDescent="0.3">
      <c r="A30" s="19">
        <f>'분석 결과'!A30</f>
        <v>22</v>
      </c>
      <c r="B30" s="19" t="str">
        <f>'분석 결과'!B30</f>
        <v>4782300042-17</v>
      </c>
      <c r="C30" s="19" t="str">
        <f>'분석 결과'!C30</f>
        <v>미네랄 메이킹 7.4</v>
      </c>
      <c r="D30" s="53" t="str">
        <f>'분석 결과'!D30</f>
        <v>먹는샘물/먹는샘물제품수</v>
      </c>
      <c r="E30" s="53" t="str">
        <f>'분석 결과'!E30</f>
        <v>08-29</v>
      </c>
      <c r="F30" s="61" t="str">
        <f>IF(GetColor('분석 결과'!F30,FALSE,-1)=13421772,'분석 결과'!V30,"")</f>
        <v>불검출</v>
      </c>
      <c r="G30" s="61" t="str">
        <f>IF(GetColor('분석 결과'!G30,FALSE,-1)=13421772,'분석 결과'!W30,"")</f>
        <v>불검출</v>
      </c>
      <c r="H30" s="61" t="str">
        <f>IF(GetColor('분석 결과'!H30,FALSE,-1)=13421772,'분석 결과'!X30,"")</f>
        <v>불검출</v>
      </c>
      <c r="I30" s="61" t="str">
        <f>IF(GetColor('분석 결과'!I30,FALSE,-1)=13421772,'분석 결과'!Y30,"")</f>
        <v>불검출</v>
      </c>
      <c r="J30" s="61" t="str">
        <f>IF(GetColor('분석 결과'!J30,FALSE,-1)=13421772,'분석 결과'!Z30,"")</f>
        <v>불검출</v>
      </c>
      <c r="K30" s="61" t="str">
        <f>IF(GetColor('분석 결과'!K30,FALSE,-1)=13421772,'분석 결과'!AA30,"")</f>
        <v>불검출</v>
      </c>
      <c r="L30" s="61" t="str">
        <f>IF(GetColor('분석 결과'!L30,FALSE,-1)=13421772,'분석 결과'!AB30,"")</f>
        <v>불검출</v>
      </c>
      <c r="M30" s="61" t="str">
        <f>IF(GetColor('분석 결과'!M30,FALSE,-1)=13421772,'분석 결과'!AC30,"")</f>
        <v>불검출</v>
      </c>
      <c r="N30" s="61" t="str">
        <f>IF(GetColor('분석 결과'!N30,FALSE,-1)=13421772,'분석 결과'!AD30,"")</f>
        <v>불검출</v>
      </c>
      <c r="O30" s="61" t="str">
        <f>IF(GetColor('분석 결과'!O30,FALSE,-1)=13421772,'분석 결과'!AE30,"")</f>
        <v>불검출</v>
      </c>
      <c r="P30" s="61" t="str">
        <f>IF(GetColor('분석 결과'!P30,FALSE,-1)=13421772,'분석 결과'!AF30,"")</f>
        <v>불검출</v>
      </c>
      <c r="Q30" s="61" t="str">
        <f>IF(GetColor('분석 결과'!Q30,FALSE,-1)=13421772,'분석 결과'!AG30,"")</f>
        <v>불검출</v>
      </c>
      <c r="R30" s="61">
        <f>IF(GetColor('분석 결과'!R30,FALSE,-1)=13421772,'분석 결과'!AH30,"")</f>
        <v>0.67791000000000001</v>
      </c>
      <c r="S30" s="61">
        <f>IF(GetColor('분석 결과'!S30,FALSE,-1)=13421772,'분석 결과'!AI30,"")</f>
        <v>6.8000000000000005E-4</v>
      </c>
      <c r="T30" s="60">
        <f>IF(GetColor('분석 결과'!T30,FALSE,-1)=13421772,'분석 결과'!AJ30,"")</f>
        <v>2.2000000000000001E-4</v>
      </c>
    </row>
    <row r="31" spans="1:35" x14ac:dyDescent="0.3">
      <c r="A31" s="19">
        <f>'분석 결과'!A31</f>
        <v>23</v>
      </c>
      <c r="B31" s="19" t="str">
        <f>'분석 결과'!B31</f>
        <v>4782300042-18</v>
      </c>
      <c r="C31" s="19" t="str">
        <f>'분석 결과'!C31</f>
        <v>당하수</v>
      </c>
      <c r="D31" s="53" t="str">
        <f>'분석 결과'!D31</f>
        <v>먹는샘물/먹는샘물제품수</v>
      </c>
      <c r="E31" s="53" t="str">
        <f>'분석 결과'!E31</f>
        <v>08-29</v>
      </c>
      <c r="F31" s="61" t="str">
        <f>IF(GetColor('분석 결과'!F31,FALSE,-1)=13421772,'분석 결과'!V31,"")</f>
        <v>불검출</v>
      </c>
      <c r="G31" s="61" t="str">
        <f>IF(GetColor('분석 결과'!G31,FALSE,-1)=13421772,'분석 결과'!W31,"")</f>
        <v>불검출</v>
      </c>
      <c r="H31" s="61" t="str">
        <f>IF(GetColor('분석 결과'!H31,FALSE,-1)=13421772,'분석 결과'!X31,"")</f>
        <v>불검출</v>
      </c>
      <c r="I31" s="61" t="str">
        <f>IF(GetColor('분석 결과'!I31,FALSE,-1)=13421772,'분석 결과'!Y31,"")</f>
        <v>불검출</v>
      </c>
      <c r="J31" s="61" t="str">
        <f>IF(GetColor('분석 결과'!J31,FALSE,-1)=13421772,'분석 결과'!Z31,"")</f>
        <v>불검출</v>
      </c>
      <c r="K31" s="61" t="str">
        <f>IF(GetColor('분석 결과'!K31,FALSE,-1)=13421772,'분석 결과'!AA31,"")</f>
        <v>불검출</v>
      </c>
      <c r="L31" s="61" t="str">
        <f>IF(GetColor('분석 결과'!L31,FALSE,-1)=13421772,'분석 결과'!AB31,"")</f>
        <v>불검출</v>
      </c>
      <c r="M31" s="61" t="str">
        <f>IF(GetColor('분석 결과'!M31,FALSE,-1)=13421772,'분석 결과'!AC31,"")</f>
        <v>불검출</v>
      </c>
      <c r="N31" s="61" t="str">
        <f>IF(GetColor('분석 결과'!N31,FALSE,-1)=13421772,'분석 결과'!AD31,"")</f>
        <v>불검출</v>
      </c>
      <c r="O31" s="61" t="str">
        <f>IF(GetColor('분석 결과'!O31,FALSE,-1)=13421772,'분석 결과'!AE31,"")</f>
        <v>불검출</v>
      </c>
      <c r="P31" s="61" t="str">
        <f>IF(GetColor('분석 결과'!P31,FALSE,-1)=13421772,'분석 결과'!AF31,"")</f>
        <v>불검출</v>
      </c>
      <c r="Q31" s="61" t="str">
        <f>IF(GetColor('분석 결과'!Q31,FALSE,-1)=13421772,'분석 결과'!AG31,"")</f>
        <v>불검출</v>
      </c>
      <c r="R31" s="61">
        <f>IF(GetColor('분석 결과'!R31,FALSE,-1)=13421772,'분석 결과'!AH31,"")</f>
        <v>2.7999999999999998E-4</v>
      </c>
      <c r="S31" s="61">
        <f>IF(GetColor('분석 결과'!S31,FALSE,-1)=13421772,'분석 결과'!AI31,"")</f>
        <v>3.4000000000000002E-4</v>
      </c>
      <c r="T31" s="60">
        <f>IF(GetColor('분석 결과'!T31,FALSE,-1)=13421772,'분석 결과'!AJ31,"")</f>
        <v>1.66E-3</v>
      </c>
    </row>
    <row r="32" spans="1:35" x14ac:dyDescent="0.3">
      <c r="A32" s="19">
        <f>'분석 결과'!A32</f>
        <v>24</v>
      </c>
      <c r="B32" s="19" t="str">
        <f>'분석 결과'!B32</f>
        <v>4782300042-19</v>
      </c>
      <c r="C32" s="19" t="str">
        <f>'분석 결과'!C32</f>
        <v>뉴글라세</v>
      </c>
      <c r="D32" s="53" t="str">
        <f>'분석 결과'!D32</f>
        <v>먹는샘물/먹는샘물제품수</v>
      </c>
      <c r="E32" s="53" t="str">
        <f>'분석 결과'!E32</f>
        <v>08-29</v>
      </c>
      <c r="F32" s="61" t="str">
        <f>IF(GetColor('분석 결과'!F32,FALSE,-1)=13421772,'분석 결과'!V32,"")</f>
        <v>불검출</v>
      </c>
      <c r="G32" s="61" t="str">
        <f>IF(GetColor('분석 결과'!G32,FALSE,-1)=13421772,'분석 결과'!W32,"")</f>
        <v>불검출</v>
      </c>
      <c r="H32" s="61" t="str">
        <f>IF(GetColor('분석 결과'!H32,FALSE,-1)=13421772,'분석 결과'!X32,"")</f>
        <v>불검출</v>
      </c>
      <c r="I32" s="61" t="str">
        <f>IF(GetColor('분석 결과'!I32,FALSE,-1)=13421772,'분석 결과'!Y32,"")</f>
        <v>불검출</v>
      </c>
      <c r="J32" s="61" t="str">
        <f>IF(GetColor('분석 결과'!J32,FALSE,-1)=13421772,'분석 결과'!Z32,"")</f>
        <v>불검출</v>
      </c>
      <c r="K32" s="61" t="str">
        <f>IF(GetColor('분석 결과'!K32,FALSE,-1)=13421772,'분석 결과'!AA32,"")</f>
        <v>불검출</v>
      </c>
      <c r="L32" s="61" t="str">
        <f>IF(GetColor('분석 결과'!L32,FALSE,-1)=13421772,'분석 결과'!AB32,"")</f>
        <v>불검출</v>
      </c>
      <c r="M32" s="61" t="str">
        <f>IF(GetColor('분석 결과'!M32,FALSE,-1)=13421772,'분석 결과'!AC32,"")</f>
        <v>불검출</v>
      </c>
      <c r="N32" s="61" t="str">
        <f>IF(GetColor('분석 결과'!N32,FALSE,-1)=13421772,'분석 결과'!AD32,"")</f>
        <v>불검출</v>
      </c>
      <c r="O32" s="61" t="str">
        <f>IF(GetColor('분석 결과'!O32,FALSE,-1)=13421772,'분석 결과'!AE32,"")</f>
        <v>불검출</v>
      </c>
      <c r="P32" s="61" t="str">
        <f>IF(GetColor('분석 결과'!P32,FALSE,-1)=13421772,'분석 결과'!AF32,"")</f>
        <v>불검출</v>
      </c>
      <c r="Q32" s="61" t="str">
        <f>IF(GetColor('분석 결과'!Q32,FALSE,-1)=13421772,'분석 결과'!AG32,"")</f>
        <v>불검출</v>
      </c>
      <c r="R32" s="61">
        <f>IF(GetColor('분석 결과'!R32,FALSE,-1)=13421772,'분석 결과'!AH32,"")</f>
        <v>4.6100000000000004E-3</v>
      </c>
      <c r="S32" s="61" t="str">
        <f>IF(GetColor('분석 결과'!S32,FALSE,-1)=13421772,'분석 결과'!AI32,"")</f>
        <v>불검출</v>
      </c>
      <c r="T32" s="60" t="str">
        <f>IF(GetColor('분석 결과'!T32,FALSE,-1)=13421772,'분석 결과'!AJ32,"")</f>
        <v>불검출</v>
      </c>
    </row>
    <row r="33" spans="1:20" x14ac:dyDescent="0.3">
      <c r="A33" s="19">
        <f>'분석 결과'!A33</f>
        <v>25</v>
      </c>
      <c r="B33" s="19" t="str">
        <f>'분석 결과'!B33</f>
        <v>4782300042-20</v>
      </c>
      <c r="C33" s="19" t="str">
        <f>'분석 결과'!C33</f>
        <v>닥터M</v>
      </c>
      <c r="D33" s="53" t="str">
        <f>'분석 결과'!D33</f>
        <v>먹는샘물/먹는샘물제품수</v>
      </c>
      <c r="E33" s="53" t="str">
        <f>'분석 결과'!E33</f>
        <v>08-29</v>
      </c>
      <c r="F33" s="61" t="str">
        <f>IF(GetColor('분석 결과'!F33,FALSE,-1)=13421772,'분석 결과'!V33,"")</f>
        <v>불검출</v>
      </c>
      <c r="G33" s="61" t="str">
        <f>IF(GetColor('분석 결과'!G33,FALSE,-1)=13421772,'분석 결과'!W33,"")</f>
        <v>불검출</v>
      </c>
      <c r="H33" s="61" t="str">
        <f>IF(GetColor('분석 결과'!H33,FALSE,-1)=13421772,'분석 결과'!X33,"")</f>
        <v>불검출</v>
      </c>
      <c r="I33" s="61" t="str">
        <f>IF(GetColor('분석 결과'!I33,FALSE,-1)=13421772,'분석 결과'!Y33,"")</f>
        <v>불검출</v>
      </c>
      <c r="J33" s="61" t="str">
        <f>IF(GetColor('분석 결과'!J33,FALSE,-1)=13421772,'분석 결과'!Z33,"")</f>
        <v>불검출</v>
      </c>
      <c r="K33" s="61" t="str">
        <f>IF(GetColor('분석 결과'!K33,FALSE,-1)=13421772,'분석 결과'!AA33,"")</f>
        <v>불검출</v>
      </c>
      <c r="L33" s="61" t="str">
        <f>IF(GetColor('분석 결과'!L33,FALSE,-1)=13421772,'분석 결과'!AB33,"")</f>
        <v>불검출</v>
      </c>
      <c r="M33" s="61">
        <f>IF(GetColor('분석 결과'!M33,FALSE,-1)=13421772,'분석 결과'!AC33,"")</f>
        <v>8.2000000000000007E-3</v>
      </c>
      <c r="N33" s="61" t="str">
        <f>IF(GetColor('분석 결과'!N33,FALSE,-1)=13421772,'분석 결과'!AD33,"")</f>
        <v>불검출</v>
      </c>
      <c r="O33" s="61" t="str">
        <f>IF(GetColor('분석 결과'!O33,FALSE,-1)=13421772,'분석 결과'!AE33,"")</f>
        <v>불검출</v>
      </c>
      <c r="P33" s="61" t="str">
        <f>IF(GetColor('분석 결과'!P33,FALSE,-1)=13421772,'분석 결과'!AF33,"")</f>
        <v>불검출</v>
      </c>
      <c r="Q33" s="61">
        <f>IF(GetColor('분석 결과'!Q33,FALSE,-1)=13421772,'분석 결과'!AG33,"")</f>
        <v>1.7299999999999999E-2</v>
      </c>
      <c r="R33" s="61">
        <f>IF(GetColor('분석 결과'!R33,FALSE,-1)=13421772,'분석 결과'!AH33,"")</f>
        <v>4.3400000000000001E-3</v>
      </c>
      <c r="S33" s="61" t="str">
        <f>IF(GetColor('분석 결과'!S33,FALSE,-1)=13421772,'분석 결과'!AI33,"")</f>
        <v>불검출</v>
      </c>
      <c r="T33" s="60">
        <f>IF(GetColor('분석 결과'!T33,FALSE,-1)=13421772,'분석 결과'!AJ33,"")</f>
        <v>1E-4</v>
      </c>
    </row>
    <row r="34" spans="1:20" x14ac:dyDescent="0.3">
      <c r="A34" s="19">
        <f>'분석 결과'!A34</f>
        <v>26</v>
      </c>
      <c r="B34" s="19" t="str">
        <f>'분석 결과'!B34</f>
        <v>4782300042-21</v>
      </c>
      <c r="C34" s="19" t="str">
        <f>'분석 결과'!C34</f>
        <v>휴웰수</v>
      </c>
      <c r="D34" s="53" t="str">
        <f>'분석 결과'!D34</f>
        <v>먹는샘물/먹는샘물제품수</v>
      </c>
      <c r="E34" s="53" t="str">
        <f>'분석 결과'!E34</f>
        <v>08-29</v>
      </c>
      <c r="F34" s="61" t="str">
        <f>IF(GetColor('분석 결과'!F34,FALSE,-1)=13421772,'분석 결과'!V34,"")</f>
        <v>불검출</v>
      </c>
      <c r="G34" s="61" t="str">
        <f>IF(GetColor('분석 결과'!G34,FALSE,-1)=13421772,'분석 결과'!W34,"")</f>
        <v>불검출</v>
      </c>
      <c r="H34" s="61" t="str">
        <f>IF(GetColor('분석 결과'!H34,FALSE,-1)=13421772,'분석 결과'!X34,"")</f>
        <v>불검출</v>
      </c>
      <c r="I34" s="61" t="str">
        <f>IF(GetColor('분석 결과'!I34,FALSE,-1)=13421772,'분석 결과'!Y34,"")</f>
        <v>불검출</v>
      </c>
      <c r="J34" s="61" t="str">
        <f>IF(GetColor('분석 결과'!J34,FALSE,-1)=13421772,'분석 결과'!Z34,"")</f>
        <v>불검출</v>
      </c>
      <c r="K34" s="61" t="str">
        <f>IF(GetColor('분석 결과'!K34,FALSE,-1)=13421772,'분석 결과'!AA34,"")</f>
        <v>불검출</v>
      </c>
      <c r="L34" s="61" t="str">
        <f>IF(GetColor('분석 결과'!L34,FALSE,-1)=13421772,'분석 결과'!AB34,"")</f>
        <v>불검출</v>
      </c>
      <c r="M34" s="61" t="str">
        <f>IF(GetColor('분석 결과'!M34,FALSE,-1)=13421772,'분석 결과'!AC34,"")</f>
        <v>불검출</v>
      </c>
      <c r="N34" s="61" t="str">
        <f>IF(GetColor('분석 결과'!N34,FALSE,-1)=13421772,'분석 결과'!AD34,"")</f>
        <v>불검출</v>
      </c>
      <c r="O34" s="61">
        <f>IF(GetColor('분석 결과'!O34,FALSE,-1)=13421772,'분석 결과'!AE34,"")</f>
        <v>6.7000000000000004E-2</v>
      </c>
      <c r="P34" s="61" t="str">
        <f>IF(GetColor('분석 결과'!P34,FALSE,-1)=13421772,'분석 결과'!AF34,"")</f>
        <v>불검출</v>
      </c>
      <c r="Q34" s="61">
        <f>IF(GetColor('분석 결과'!Q34,FALSE,-1)=13421772,'분석 결과'!AG34,"")</f>
        <v>1.09E-2</v>
      </c>
      <c r="R34" s="61">
        <f>IF(GetColor('분석 결과'!R34,FALSE,-1)=13421772,'분석 결과'!AH34,"")</f>
        <v>2.15E-3</v>
      </c>
      <c r="S34" s="61">
        <f>IF(GetColor('분석 결과'!S34,FALSE,-1)=13421772,'분석 결과'!AI34,"")</f>
        <v>1.064E-2</v>
      </c>
      <c r="T34" s="60">
        <f>IF(GetColor('분석 결과'!T34,FALSE,-1)=13421772,'분석 결과'!AJ34,"")</f>
        <v>1.4400000000000001E-3</v>
      </c>
    </row>
    <row r="35" spans="1:20" x14ac:dyDescent="0.3">
      <c r="A35" s="19">
        <f>'분석 결과'!A35</f>
        <v>27</v>
      </c>
      <c r="B35" s="19" t="str">
        <f>'분석 결과'!B35</f>
        <v>4782300042-22</v>
      </c>
      <c r="C35" s="19" t="str">
        <f>'분석 결과'!C35</f>
        <v>일라이트 자연한모금</v>
      </c>
      <c r="D35" s="53" t="str">
        <f>'분석 결과'!D35</f>
        <v>먹는샘물/먹는샘물제품수</v>
      </c>
      <c r="E35" s="53" t="str">
        <f>'분석 결과'!E35</f>
        <v>08-29</v>
      </c>
      <c r="F35" s="61" t="str">
        <f>IF(GetColor('분석 결과'!F35,FALSE,-1)=13421772,'분석 결과'!V35,"")</f>
        <v>불검출</v>
      </c>
      <c r="G35" s="61" t="str">
        <f>IF(GetColor('분석 결과'!G35,FALSE,-1)=13421772,'분석 결과'!W35,"")</f>
        <v>불검출</v>
      </c>
      <c r="H35" s="61" t="str">
        <f>IF(GetColor('분석 결과'!H35,FALSE,-1)=13421772,'분석 결과'!X35,"")</f>
        <v>불검출</v>
      </c>
      <c r="I35" s="61" t="str">
        <f>IF(GetColor('분석 결과'!I35,FALSE,-1)=13421772,'분석 결과'!Y35,"")</f>
        <v>불검출</v>
      </c>
      <c r="J35" s="61" t="str">
        <f>IF(GetColor('분석 결과'!J35,FALSE,-1)=13421772,'분석 결과'!Z35,"")</f>
        <v>불검출</v>
      </c>
      <c r="K35" s="61" t="str">
        <f>IF(GetColor('분석 결과'!K35,FALSE,-1)=13421772,'분석 결과'!AA35,"")</f>
        <v>불검출</v>
      </c>
      <c r="L35" s="61" t="str">
        <f>IF(GetColor('분석 결과'!L35,FALSE,-1)=13421772,'분석 결과'!AB35,"")</f>
        <v>불검출</v>
      </c>
      <c r="M35" s="61" t="str">
        <f>IF(GetColor('분석 결과'!M35,FALSE,-1)=13421772,'분석 결과'!AC35,"")</f>
        <v>불검출</v>
      </c>
      <c r="N35" s="61" t="str">
        <f>IF(GetColor('분석 결과'!N35,FALSE,-1)=13421772,'분석 결과'!AD35,"")</f>
        <v>불검출</v>
      </c>
      <c r="O35" s="61" t="str">
        <f>IF(GetColor('분석 결과'!O35,FALSE,-1)=13421772,'분석 결과'!AE35,"")</f>
        <v>불검출</v>
      </c>
      <c r="P35" s="61" t="str">
        <f>IF(GetColor('분석 결과'!P35,FALSE,-1)=13421772,'분석 결과'!AF35,"")</f>
        <v>불검출</v>
      </c>
      <c r="Q35" s="61" t="str">
        <f>IF(GetColor('분석 결과'!Q35,FALSE,-1)=13421772,'분석 결과'!AG35,"")</f>
        <v>불검출</v>
      </c>
      <c r="R35" s="61">
        <f>IF(GetColor('분석 결과'!R35,FALSE,-1)=13421772,'분석 결과'!AH35,"")</f>
        <v>1.64E-3</v>
      </c>
      <c r="S35" s="61">
        <f>IF(GetColor('분석 결과'!S35,FALSE,-1)=13421772,'분석 결과'!AI35,"")</f>
        <v>3.63E-3</v>
      </c>
      <c r="T35" s="60">
        <f>IF(GetColor('분석 결과'!T35,FALSE,-1)=13421772,'분석 결과'!AJ35,"")</f>
        <v>4.2999999999999999E-4</v>
      </c>
    </row>
    <row r="36" spans="1:20" x14ac:dyDescent="0.3">
      <c r="A36" s="19">
        <f>'분석 결과'!A36</f>
        <v>28</v>
      </c>
      <c r="B36" s="19" t="str">
        <f>'분석 결과'!B36</f>
        <v>4782300042-23</v>
      </c>
      <c r="C36" s="19" t="str">
        <f>'분석 결과'!C36</f>
        <v>일라이트 pH한모금</v>
      </c>
      <c r="D36" s="53" t="str">
        <f>'분석 결과'!D36</f>
        <v>먹는샘물/먹는샘물제품수</v>
      </c>
      <c r="E36" s="53" t="str">
        <f>'분석 결과'!E36</f>
        <v>08-29</v>
      </c>
      <c r="F36" s="61" t="str">
        <f>IF(GetColor('분석 결과'!F36,FALSE,-1)=13421772,'분석 결과'!V36,"")</f>
        <v>불검출</v>
      </c>
      <c r="G36" s="61" t="str">
        <f>IF(GetColor('분석 결과'!G36,FALSE,-1)=13421772,'분석 결과'!W36,"")</f>
        <v>불검출</v>
      </c>
      <c r="H36" s="61" t="str">
        <f>IF(GetColor('분석 결과'!H36,FALSE,-1)=13421772,'분석 결과'!X36,"")</f>
        <v>불검출</v>
      </c>
      <c r="I36" s="61" t="str">
        <f>IF(GetColor('분석 결과'!I36,FALSE,-1)=13421772,'분석 결과'!Y36,"")</f>
        <v>불검출</v>
      </c>
      <c r="J36" s="61" t="str">
        <f>IF(GetColor('분석 결과'!J36,FALSE,-1)=13421772,'분석 결과'!Z36,"")</f>
        <v>불검출</v>
      </c>
      <c r="K36" s="61" t="str">
        <f>IF(GetColor('분석 결과'!K36,FALSE,-1)=13421772,'분석 결과'!AA36,"")</f>
        <v>불검출</v>
      </c>
      <c r="L36" s="61" t="str">
        <f>IF(GetColor('분석 결과'!L36,FALSE,-1)=13421772,'분석 결과'!AB36,"")</f>
        <v>불검출</v>
      </c>
      <c r="M36" s="61" t="str">
        <f>IF(GetColor('분석 결과'!M36,FALSE,-1)=13421772,'분석 결과'!AC36,"")</f>
        <v>불검출</v>
      </c>
      <c r="N36" s="61" t="str">
        <f>IF(GetColor('분석 결과'!N36,FALSE,-1)=13421772,'분석 결과'!AD36,"")</f>
        <v>불검출</v>
      </c>
      <c r="O36" s="61" t="str">
        <f>IF(GetColor('분석 결과'!O36,FALSE,-1)=13421772,'분석 결과'!AE36,"")</f>
        <v>불검출</v>
      </c>
      <c r="P36" s="61" t="str">
        <f>IF(GetColor('분석 결과'!P36,FALSE,-1)=13421772,'분석 결과'!AF36,"")</f>
        <v>불검출</v>
      </c>
      <c r="Q36" s="61" t="str">
        <f>IF(GetColor('분석 결과'!Q36,FALSE,-1)=13421772,'분석 결과'!AG36,"")</f>
        <v>불검출</v>
      </c>
      <c r="R36" s="61">
        <f>IF(GetColor('분석 결과'!R36,FALSE,-1)=13421772,'분석 결과'!AH36,"")</f>
        <v>6.2E-4</v>
      </c>
      <c r="S36" s="61">
        <f>IF(GetColor('분석 결과'!S36,FALSE,-1)=13421772,'분석 결과'!AI36,"")</f>
        <v>3.3899999999999998E-3</v>
      </c>
      <c r="T36" s="60">
        <f>IF(GetColor('분석 결과'!T36,FALSE,-1)=13421772,'분석 결과'!AJ36,"")</f>
        <v>6.0000000000000002E-5</v>
      </c>
    </row>
    <row r="37" spans="1:20" x14ac:dyDescent="0.3">
      <c r="A37" s="19">
        <f>'분석 결과'!A37</f>
        <v>29</v>
      </c>
      <c r="B37" s="19" t="str">
        <f>'분석 결과'!B37</f>
        <v>4782300042-24</v>
      </c>
      <c r="C37" s="19" t="str">
        <f>'분석 결과'!C37</f>
        <v>미네락 300</v>
      </c>
      <c r="D37" s="53" t="str">
        <f>'분석 결과'!D37</f>
        <v>먹는샘물/먹는샘물제품수</v>
      </c>
      <c r="E37" s="53" t="str">
        <f>'분석 결과'!E37</f>
        <v>08-29</v>
      </c>
      <c r="F37" s="61" t="str">
        <f>IF(GetColor('분석 결과'!F37,FALSE,-1)=13421772,'분석 결과'!V37,"")</f>
        <v>불검출</v>
      </c>
      <c r="G37" s="61" t="str">
        <f>IF(GetColor('분석 결과'!G37,FALSE,-1)=13421772,'분석 결과'!W37,"")</f>
        <v>불검출</v>
      </c>
      <c r="H37" s="61">
        <f>IF(GetColor('분석 결과'!H37,FALSE,-1)=13421772,'분석 결과'!X37,"")</f>
        <v>6.7000000000000002E-3</v>
      </c>
      <c r="I37" s="61" t="str">
        <f>IF(GetColor('분석 결과'!I37,FALSE,-1)=13421772,'분석 결과'!Y37,"")</f>
        <v>불검출</v>
      </c>
      <c r="J37" s="61" t="str">
        <f>IF(GetColor('분석 결과'!J37,FALSE,-1)=13421772,'분석 결과'!Z37,"")</f>
        <v>불검출</v>
      </c>
      <c r="K37" s="61" t="str">
        <f>IF(GetColor('분석 결과'!K37,FALSE,-1)=13421772,'분석 결과'!AA37,"")</f>
        <v>불검출</v>
      </c>
      <c r="L37" s="61">
        <f>IF(GetColor('분석 결과'!L37,FALSE,-1)=13421772,'분석 결과'!AB37,"")</f>
        <v>1.23E-2</v>
      </c>
      <c r="M37" s="61" t="str">
        <f>IF(GetColor('분석 결과'!M37,FALSE,-1)=13421772,'분석 결과'!AC37,"")</f>
        <v>불검출</v>
      </c>
      <c r="N37" s="61" t="str">
        <f>IF(GetColor('분석 결과'!N37,FALSE,-1)=13421772,'분석 결과'!AD37,"")</f>
        <v>불검출</v>
      </c>
      <c r="O37" s="61" t="str">
        <f>IF(GetColor('분석 결과'!O37,FALSE,-1)=13421772,'분석 결과'!AE37,"")</f>
        <v>불검출</v>
      </c>
      <c r="P37" s="61">
        <f>IF(GetColor('분석 결과'!P37,FALSE,-1)=13421772,'분석 결과'!AF37,"")</f>
        <v>5.0999999999999997E-2</v>
      </c>
      <c r="Q37" s="61" t="str">
        <f>IF(GetColor('분석 결과'!Q37,FALSE,-1)=13421772,'분석 결과'!AG37,"")</f>
        <v>불검출</v>
      </c>
      <c r="R37" s="61" t="str">
        <f>IF(GetColor('분석 결과'!R37,FALSE,-1)=13421772,'분석 결과'!AH37,"")</f>
        <v>불검출</v>
      </c>
      <c r="S37" s="61" t="str">
        <f>IF(GetColor('분석 결과'!S37,FALSE,-1)=13421772,'분석 결과'!AI37,"")</f>
        <v>불검출</v>
      </c>
      <c r="T37" s="60">
        <f>IF(GetColor('분석 결과'!T37,FALSE,-1)=13421772,'분석 결과'!AJ37,"")</f>
        <v>4.4000000000000002E-4</v>
      </c>
    </row>
    <row r="38" spans="1:20" x14ac:dyDescent="0.3">
      <c r="A38" s="19">
        <f>'분석 결과'!A38</f>
        <v>30</v>
      </c>
      <c r="B38" s="19" t="str">
        <f>'분석 결과'!B38</f>
        <v>4782300042-25</v>
      </c>
      <c r="C38" s="19" t="str">
        <f>'분석 결과'!C38</f>
        <v>미다수</v>
      </c>
      <c r="D38" s="53" t="str">
        <f>'분석 결과'!D38</f>
        <v>먹는샘물/먹는샘물제품수</v>
      </c>
      <c r="E38" s="53" t="str">
        <f>'분석 결과'!E38</f>
        <v>08-29</v>
      </c>
      <c r="F38" s="61" t="str">
        <f>IF(GetColor('분석 결과'!F38,FALSE,-1)=13421772,'분석 결과'!V38,"")</f>
        <v>불검출</v>
      </c>
      <c r="G38" s="61" t="str">
        <f>IF(GetColor('분석 결과'!G38,FALSE,-1)=13421772,'분석 결과'!W38,"")</f>
        <v>불검출</v>
      </c>
      <c r="H38" s="61" t="str">
        <f>IF(GetColor('분석 결과'!H38,FALSE,-1)=13421772,'분석 결과'!X38,"")</f>
        <v>불검출</v>
      </c>
      <c r="I38" s="61" t="str">
        <f>IF(GetColor('분석 결과'!I38,FALSE,-1)=13421772,'분석 결과'!Y38,"")</f>
        <v>불검출</v>
      </c>
      <c r="J38" s="61" t="str">
        <f>IF(GetColor('분석 결과'!J38,FALSE,-1)=13421772,'분석 결과'!Z38,"")</f>
        <v>불검출</v>
      </c>
      <c r="K38" s="61" t="str">
        <f>IF(GetColor('분석 결과'!K38,FALSE,-1)=13421772,'분석 결과'!AA38,"")</f>
        <v>불검출</v>
      </c>
      <c r="L38" s="61" t="str">
        <f>IF(GetColor('분석 결과'!L38,FALSE,-1)=13421772,'분석 결과'!AB38,"")</f>
        <v>불검출</v>
      </c>
      <c r="M38" s="61" t="str">
        <f>IF(GetColor('분석 결과'!M38,FALSE,-1)=13421772,'분석 결과'!AC38,"")</f>
        <v>불검출</v>
      </c>
      <c r="N38" s="61" t="str">
        <f>IF(GetColor('분석 결과'!N38,FALSE,-1)=13421772,'분석 결과'!AD38,"")</f>
        <v>불검출</v>
      </c>
      <c r="O38" s="61" t="str">
        <f>IF(GetColor('분석 결과'!O38,FALSE,-1)=13421772,'분석 결과'!AE38,"")</f>
        <v>불검출</v>
      </c>
      <c r="P38" s="61" t="str">
        <f>IF(GetColor('분석 결과'!P38,FALSE,-1)=13421772,'분석 결과'!AF38,"")</f>
        <v>불검출</v>
      </c>
      <c r="Q38" s="61" t="str">
        <f>IF(GetColor('분석 결과'!Q38,FALSE,-1)=13421772,'분석 결과'!AG38,"")</f>
        <v>불검출</v>
      </c>
      <c r="R38" s="61">
        <f>IF(GetColor('분석 결과'!R38,FALSE,-1)=13421772,'분석 결과'!AH38,"")</f>
        <v>0.58928999999999998</v>
      </c>
      <c r="S38" s="61">
        <f>IF(GetColor('분석 결과'!S38,FALSE,-1)=13421772,'분석 결과'!AI38,"")</f>
        <v>6.8999999999999997E-4</v>
      </c>
      <c r="T38" s="60">
        <f>IF(GetColor('분석 결과'!T38,FALSE,-1)=13421772,'분석 결과'!AJ38,"")</f>
        <v>2.2000000000000001E-4</v>
      </c>
    </row>
    <row r="39" spans="1:20" x14ac:dyDescent="0.3">
      <c r="A39" s="19">
        <f>'분석 결과'!A39</f>
        <v>31</v>
      </c>
      <c r="B39" s="19" t="str">
        <f>'분석 결과'!B39</f>
        <v>4782300042-26</v>
      </c>
      <c r="C39" s="19" t="str">
        <f>'분석 결과'!C39</f>
        <v>기정 알칼리수</v>
      </c>
      <c r="D39" s="53" t="str">
        <f>'분석 결과'!D39</f>
        <v>먹는샘물/먹는샘물제품수</v>
      </c>
      <c r="E39" s="53" t="str">
        <f>'분석 결과'!E39</f>
        <v>08-29</v>
      </c>
      <c r="F39" s="61" t="str">
        <f>IF(GetColor('분석 결과'!F39,FALSE,-1)=13421772,'분석 결과'!V39,"")</f>
        <v>불검출</v>
      </c>
      <c r="G39" s="61">
        <f>IF(GetColor('분석 결과'!G39,FALSE,-1)=13421772,'분석 결과'!W39,"")</f>
        <v>6.7999999999999996E-3</v>
      </c>
      <c r="H39" s="61" t="str">
        <f>IF(GetColor('분석 결과'!H39,FALSE,-1)=13421772,'분석 결과'!X39,"")</f>
        <v>불검출</v>
      </c>
      <c r="I39" s="61" t="str">
        <f>IF(GetColor('분석 결과'!I39,FALSE,-1)=13421772,'분석 결과'!Y39,"")</f>
        <v>불검출</v>
      </c>
      <c r="J39" s="61" t="str">
        <f>IF(GetColor('분석 결과'!J39,FALSE,-1)=13421772,'분석 결과'!Z39,"")</f>
        <v>불검출</v>
      </c>
      <c r="K39" s="61" t="str">
        <f>IF(GetColor('분석 결과'!K39,FALSE,-1)=13421772,'분석 결과'!AA39,"")</f>
        <v>불검출</v>
      </c>
      <c r="L39" s="61" t="str">
        <f>IF(GetColor('분석 결과'!L39,FALSE,-1)=13421772,'분석 결과'!AB39,"")</f>
        <v>불검출</v>
      </c>
      <c r="M39" s="61" t="str">
        <f>IF(GetColor('분석 결과'!M39,FALSE,-1)=13421772,'분석 결과'!AC39,"")</f>
        <v>불검출</v>
      </c>
      <c r="N39" s="61" t="str">
        <f>IF(GetColor('분석 결과'!N39,FALSE,-1)=13421772,'분석 결과'!AD39,"")</f>
        <v>불검출</v>
      </c>
      <c r="O39" s="61" t="str">
        <f>IF(GetColor('분석 결과'!O39,FALSE,-1)=13421772,'분석 결과'!AE39,"")</f>
        <v>불검출</v>
      </c>
      <c r="P39" s="61" t="str">
        <f>IF(GetColor('분석 결과'!P39,FALSE,-1)=13421772,'분석 결과'!AF39,"")</f>
        <v>불검출</v>
      </c>
      <c r="Q39" s="61" t="str">
        <f>IF(GetColor('분석 결과'!Q39,FALSE,-1)=13421772,'분석 결과'!AG39,"")</f>
        <v>불검출</v>
      </c>
      <c r="R39" s="61">
        <f>IF(GetColor('분석 결과'!R39,FALSE,-1)=13421772,'분석 결과'!AH39,"")</f>
        <v>3.0689999999999999E-2</v>
      </c>
      <c r="S39" s="61">
        <f>IF(GetColor('분석 결과'!S39,FALSE,-1)=13421772,'분석 결과'!AI39,"")</f>
        <v>1.341E-2</v>
      </c>
      <c r="T39" s="60">
        <f>IF(GetColor('분석 결과'!T39,FALSE,-1)=13421772,'분석 결과'!AJ39,"")</f>
        <v>1.64E-3</v>
      </c>
    </row>
    <row r="40" spans="1:20" x14ac:dyDescent="0.3">
      <c r="A40" s="19">
        <f>'분석 결과'!A40</f>
        <v>32</v>
      </c>
      <c r="B40" s="19" t="str">
        <f>'분석 결과'!B40</f>
        <v>4782300042-27</v>
      </c>
      <c r="C40" s="19" t="str">
        <f>'분석 결과'!C40</f>
        <v>닥터 코아</v>
      </c>
      <c r="D40" s="53" t="str">
        <f>'분석 결과'!D40</f>
        <v>먹는샘물/먹는샘물제품수</v>
      </c>
      <c r="E40" s="53" t="str">
        <f>'분석 결과'!E40</f>
        <v>08-29</v>
      </c>
      <c r="F40" s="61" t="str">
        <f>IF(GetColor('분석 결과'!F40,FALSE,-1)=13421772,'분석 결과'!V40,"")</f>
        <v>불검출</v>
      </c>
      <c r="G40" s="61" t="str">
        <f>IF(GetColor('분석 결과'!G40,FALSE,-1)=13421772,'분석 결과'!W40,"")</f>
        <v>불검출</v>
      </c>
      <c r="H40" s="61" t="str">
        <f>IF(GetColor('분석 결과'!H40,FALSE,-1)=13421772,'분석 결과'!X40,"")</f>
        <v>불검출</v>
      </c>
      <c r="I40" s="61" t="str">
        <f>IF(GetColor('분석 결과'!I40,FALSE,-1)=13421772,'분석 결과'!Y40,"")</f>
        <v>불검출</v>
      </c>
      <c r="J40" s="61" t="str">
        <f>IF(GetColor('분석 결과'!J40,FALSE,-1)=13421772,'분석 결과'!Z40,"")</f>
        <v>불검출</v>
      </c>
      <c r="K40" s="61" t="str">
        <f>IF(GetColor('분석 결과'!K40,FALSE,-1)=13421772,'분석 결과'!AA40,"")</f>
        <v>불검출</v>
      </c>
      <c r="L40" s="61" t="str">
        <f>IF(GetColor('분석 결과'!L40,FALSE,-1)=13421772,'분석 결과'!AB40,"")</f>
        <v>불검출</v>
      </c>
      <c r="M40" s="61" t="str">
        <f>IF(GetColor('분석 결과'!M40,FALSE,-1)=13421772,'분석 결과'!AC40,"")</f>
        <v>불검출</v>
      </c>
      <c r="N40" s="61" t="str">
        <f>IF(GetColor('분석 결과'!N40,FALSE,-1)=13421772,'분석 결과'!AD40,"")</f>
        <v>불검출</v>
      </c>
      <c r="O40" s="61">
        <f>IF(GetColor('분석 결과'!O40,FALSE,-1)=13421772,'분석 결과'!AE40,"")</f>
        <v>3.6999999999999998E-2</v>
      </c>
      <c r="P40" s="61" t="str">
        <f>IF(GetColor('분석 결과'!P40,FALSE,-1)=13421772,'분석 결과'!AF40,"")</f>
        <v>불검출</v>
      </c>
      <c r="Q40" s="61">
        <f>IF(GetColor('분석 결과'!Q40,FALSE,-1)=13421772,'분석 결과'!AG40,"")</f>
        <v>1.5699999999999999E-2</v>
      </c>
      <c r="R40" s="61">
        <f>IF(GetColor('분석 결과'!R40,FALSE,-1)=13421772,'분석 결과'!AH40,"")</f>
        <v>2.5000000000000001E-4</v>
      </c>
      <c r="S40" s="61" t="str">
        <f>IF(GetColor('분석 결과'!S40,FALSE,-1)=13421772,'분석 결과'!AI40,"")</f>
        <v>불검출</v>
      </c>
      <c r="T40" s="60">
        <f>IF(GetColor('분석 결과'!T40,FALSE,-1)=13421772,'분석 결과'!AJ40,"")</f>
        <v>4.6999999999999999E-4</v>
      </c>
    </row>
    <row r="41" spans="1:20" x14ac:dyDescent="0.3">
      <c r="A41" s="19">
        <f>'분석 결과'!A41</f>
        <v>33</v>
      </c>
      <c r="B41" s="19" t="str">
        <f>'분석 결과'!B41</f>
        <v>4782300042-28</v>
      </c>
      <c r="C41" s="19" t="str">
        <f>'분석 결과'!C41</f>
        <v>미네랄 파동수</v>
      </c>
      <c r="D41" s="53" t="str">
        <f>'분석 결과'!D41</f>
        <v>먹는샘물/먹는샘물제품수</v>
      </c>
      <c r="E41" s="53" t="str">
        <f>'분석 결과'!E41</f>
        <v>08-29</v>
      </c>
      <c r="F41" s="61" t="str">
        <f>IF(GetColor('분석 결과'!F41,FALSE,-1)=13421772,'분석 결과'!V41,"")</f>
        <v>불검출</v>
      </c>
      <c r="G41" s="61" t="str">
        <f>IF(GetColor('분석 결과'!G41,FALSE,-1)=13421772,'분석 결과'!W41,"")</f>
        <v>불검출</v>
      </c>
      <c r="H41" s="61" t="str">
        <f>IF(GetColor('분석 결과'!H41,FALSE,-1)=13421772,'분석 결과'!X41,"")</f>
        <v>불검출</v>
      </c>
      <c r="I41" s="61" t="str">
        <f>IF(GetColor('분석 결과'!I41,FALSE,-1)=13421772,'분석 결과'!Y41,"")</f>
        <v>불검출</v>
      </c>
      <c r="J41" s="61" t="str">
        <f>IF(GetColor('분석 결과'!J41,FALSE,-1)=13421772,'분석 결과'!Z41,"")</f>
        <v>불검출</v>
      </c>
      <c r="K41" s="61" t="str">
        <f>IF(GetColor('분석 결과'!K41,FALSE,-1)=13421772,'분석 결과'!AA41,"")</f>
        <v>불검출</v>
      </c>
      <c r="L41" s="61" t="str">
        <f>IF(GetColor('분석 결과'!L41,FALSE,-1)=13421772,'분석 결과'!AB41,"")</f>
        <v>불검출</v>
      </c>
      <c r="M41" s="61" t="str">
        <f>IF(GetColor('분석 결과'!M41,FALSE,-1)=13421772,'분석 결과'!AC41,"")</f>
        <v>불검출</v>
      </c>
      <c r="N41" s="61" t="str">
        <f>IF(GetColor('분석 결과'!N41,FALSE,-1)=13421772,'분석 결과'!AD41,"")</f>
        <v>불검출</v>
      </c>
      <c r="O41" s="61" t="str">
        <f>IF(GetColor('분석 결과'!O41,FALSE,-1)=13421772,'분석 결과'!AE41,"")</f>
        <v>불검출</v>
      </c>
      <c r="P41" s="61">
        <f>IF(GetColor('분석 결과'!P41,FALSE,-1)=13421772,'분석 결과'!AF41,"")</f>
        <v>0.14599999999999999</v>
      </c>
      <c r="Q41" s="61">
        <f>IF(GetColor('분석 결과'!Q41,FALSE,-1)=13421772,'분석 결과'!AG41,"")</f>
        <v>1.0800000000000001E-2</v>
      </c>
      <c r="R41" s="61" t="str">
        <f>IF(GetColor('분석 결과'!R41,FALSE,-1)=13421772,'분석 결과'!AH41,"")</f>
        <v>불검출</v>
      </c>
      <c r="S41" s="61">
        <f>IF(GetColor('분석 결과'!S41,FALSE,-1)=13421772,'분석 결과'!AI41,"")</f>
        <v>3.6000000000000002E-4</v>
      </c>
      <c r="T41" s="60">
        <f>IF(GetColor('분석 결과'!T41,FALSE,-1)=13421772,'분석 결과'!AJ41,"")</f>
        <v>9.6000000000000002E-4</v>
      </c>
    </row>
    <row r="42" spans="1:20" x14ac:dyDescent="0.3">
      <c r="A42" s="19">
        <f>'분석 결과'!A42</f>
        <v>34</v>
      </c>
      <c r="B42" s="19" t="str">
        <f>'분석 결과'!B42</f>
        <v>4782300042-29</v>
      </c>
      <c r="C42" s="19" t="str">
        <f>'분석 결과'!C42</f>
        <v>미네랄 600</v>
      </c>
      <c r="D42" s="53" t="str">
        <f>'분석 결과'!D42</f>
        <v>먹는샘물/먹는샘물제품수</v>
      </c>
      <c r="E42" s="53" t="str">
        <f>'분석 결과'!E42</f>
        <v>08-29</v>
      </c>
      <c r="F42" s="61" t="str">
        <f>IF(GetColor('분석 결과'!F42,FALSE,-1)=13421772,'분석 결과'!V42,"")</f>
        <v>불검출</v>
      </c>
      <c r="G42" s="61" t="str">
        <f>IF(GetColor('분석 결과'!G42,FALSE,-1)=13421772,'분석 결과'!W42,"")</f>
        <v>불검출</v>
      </c>
      <c r="H42" s="61">
        <f>IF(GetColor('분석 결과'!H42,FALSE,-1)=13421772,'분석 결과'!X42,"")</f>
        <v>1.49E-2</v>
      </c>
      <c r="I42" s="61" t="str">
        <f>IF(GetColor('분석 결과'!I42,FALSE,-1)=13421772,'분석 결과'!Y42,"")</f>
        <v>불검출</v>
      </c>
      <c r="J42" s="61" t="str">
        <f>IF(GetColor('분석 결과'!J42,FALSE,-1)=13421772,'분석 결과'!Z42,"")</f>
        <v>불검출</v>
      </c>
      <c r="K42" s="61" t="str">
        <f>IF(GetColor('분석 결과'!K42,FALSE,-1)=13421772,'분석 결과'!AA42,"")</f>
        <v>불검출</v>
      </c>
      <c r="L42" s="61">
        <f>IF(GetColor('분석 결과'!L42,FALSE,-1)=13421772,'분석 결과'!AB42,"")</f>
        <v>4.7999999999999996E-3</v>
      </c>
      <c r="M42" s="61" t="str">
        <f>IF(GetColor('분석 결과'!M42,FALSE,-1)=13421772,'분석 결과'!AC42,"")</f>
        <v>불검출</v>
      </c>
      <c r="N42" s="61" t="str">
        <f>IF(GetColor('분석 결과'!N42,FALSE,-1)=13421772,'분석 결과'!AD42,"")</f>
        <v>불검출</v>
      </c>
      <c r="O42" s="61" t="str">
        <f>IF(GetColor('분석 결과'!O42,FALSE,-1)=13421772,'분석 결과'!AE42,"")</f>
        <v>불검출</v>
      </c>
      <c r="P42" s="61">
        <f>IF(GetColor('분석 결과'!P42,FALSE,-1)=13421772,'분석 결과'!AF42,"")</f>
        <v>7.8E-2</v>
      </c>
      <c r="Q42" s="61" t="str">
        <f>IF(GetColor('분석 결과'!Q42,FALSE,-1)=13421772,'분석 결과'!AG42,"")</f>
        <v>불검출</v>
      </c>
      <c r="R42" s="61" t="str">
        <f>IF(GetColor('분석 결과'!R42,FALSE,-1)=13421772,'분석 결과'!AH42,"")</f>
        <v>불검출</v>
      </c>
      <c r="S42" s="61" t="str">
        <f>IF(GetColor('분석 결과'!S42,FALSE,-1)=13421772,'분석 결과'!AI42,"")</f>
        <v>불검출</v>
      </c>
      <c r="T42" s="60">
        <f>IF(GetColor('분석 결과'!T42,FALSE,-1)=13421772,'분석 결과'!AJ42,"")</f>
        <v>4.4999999999999999E-4</v>
      </c>
    </row>
    <row r="43" spans="1:20" x14ac:dyDescent="0.3">
      <c r="A43" s="19">
        <f>'분석 결과'!A43</f>
        <v>35</v>
      </c>
      <c r="B43" s="19" t="str">
        <f>'분석 결과'!B43</f>
        <v>4782300042-30</v>
      </c>
      <c r="C43" s="19" t="str">
        <f>'분석 결과'!C43</f>
        <v>리얼마미수플러스</v>
      </c>
      <c r="D43" s="53" t="str">
        <f>'분석 결과'!D43</f>
        <v>먹는샘물/먹는샘물제품수</v>
      </c>
      <c r="E43" s="53" t="str">
        <f>'분석 결과'!E43</f>
        <v>08-29</v>
      </c>
      <c r="F43" s="61" t="str">
        <f>IF(GetColor('분석 결과'!F43,FALSE,-1)=13421772,'분석 결과'!V43,"")</f>
        <v>불검출</v>
      </c>
      <c r="G43" s="61" t="str">
        <f>IF(GetColor('분석 결과'!G43,FALSE,-1)=13421772,'분석 결과'!W43,"")</f>
        <v>불검출</v>
      </c>
      <c r="H43" s="61">
        <f>IF(GetColor('분석 결과'!H43,FALSE,-1)=13421772,'분석 결과'!X43,"")</f>
        <v>7.7000000000000002E-3</v>
      </c>
      <c r="I43" s="61" t="str">
        <f>IF(GetColor('분석 결과'!I43,FALSE,-1)=13421772,'분석 결과'!Y43,"")</f>
        <v>불검출</v>
      </c>
      <c r="J43" s="61" t="str">
        <f>IF(GetColor('분석 결과'!J43,FALSE,-1)=13421772,'분석 결과'!Z43,"")</f>
        <v>불검출</v>
      </c>
      <c r="K43" s="61" t="str">
        <f>IF(GetColor('분석 결과'!K43,FALSE,-1)=13421772,'분석 결과'!AA43,"")</f>
        <v>불검출</v>
      </c>
      <c r="L43" s="61">
        <f>IF(GetColor('분석 결과'!L43,FALSE,-1)=13421772,'분석 결과'!AB43,"")</f>
        <v>1.47E-2</v>
      </c>
      <c r="M43" s="61" t="str">
        <f>IF(GetColor('분석 결과'!M43,FALSE,-1)=13421772,'분석 결과'!AC43,"")</f>
        <v>불검출</v>
      </c>
      <c r="N43" s="61" t="str">
        <f>IF(GetColor('분석 결과'!N43,FALSE,-1)=13421772,'분석 결과'!AD43,"")</f>
        <v>불검출</v>
      </c>
      <c r="O43" s="61" t="str">
        <f>IF(GetColor('분석 결과'!O43,FALSE,-1)=13421772,'분석 결과'!AE43,"")</f>
        <v>불검출</v>
      </c>
      <c r="P43" s="61">
        <f>IF(GetColor('분석 결과'!P43,FALSE,-1)=13421772,'분석 결과'!AF43,"")</f>
        <v>4.7E-2</v>
      </c>
      <c r="Q43" s="61" t="str">
        <f>IF(GetColor('분석 결과'!Q43,FALSE,-1)=13421772,'분석 결과'!AG43,"")</f>
        <v>불검출</v>
      </c>
      <c r="R43" s="61" t="str">
        <f>IF(GetColor('분석 결과'!R43,FALSE,-1)=13421772,'분석 결과'!AH43,"")</f>
        <v>불검출</v>
      </c>
      <c r="S43" s="61" t="str">
        <f>IF(GetColor('분석 결과'!S43,FALSE,-1)=13421772,'분석 결과'!AI43,"")</f>
        <v>불검출</v>
      </c>
      <c r="T43" s="60">
        <f>IF(GetColor('분석 결과'!T43,FALSE,-1)=13421772,'분석 결과'!AJ43,"")</f>
        <v>4.8999999999999998E-4</v>
      </c>
    </row>
    <row r="44" spans="1:20" x14ac:dyDescent="0.3">
      <c r="A44" s="19">
        <f>'분석 결과'!A44</f>
        <v>36</v>
      </c>
      <c r="B44" s="19" t="str">
        <f>'분석 결과'!B44</f>
        <v>4782300042-31</v>
      </c>
      <c r="C44" s="19" t="str">
        <f>'분석 결과'!C44</f>
        <v>이즈미오</v>
      </c>
      <c r="D44" s="53" t="str">
        <f>'분석 결과'!D44</f>
        <v>먹는샘물/먹는샘물제품수</v>
      </c>
      <c r="E44" s="53" t="str">
        <f>'분석 결과'!E44</f>
        <v>08-29</v>
      </c>
      <c r="F44" s="61" t="str">
        <f>IF(GetColor('분석 결과'!F44,FALSE,-1)=13421772,'분석 결과'!V44,"")</f>
        <v>불검출</v>
      </c>
      <c r="G44" s="61" t="str">
        <f>IF(GetColor('분석 결과'!G44,FALSE,-1)=13421772,'분석 결과'!W44,"")</f>
        <v>불검출</v>
      </c>
      <c r="H44" s="61" t="str">
        <f>IF(GetColor('분석 결과'!H44,FALSE,-1)=13421772,'분석 결과'!X44,"")</f>
        <v>불검출</v>
      </c>
      <c r="I44" s="61" t="str">
        <f>IF(GetColor('분석 결과'!I44,FALSE,-1)=13421772,'분석 결과'!Y44,"")</f>
        <v>불검출</v>
      </c>
      <c r="J44" s="61" t="str">
        <f>IF(GetColor('분석 결과'!J44,FALSE,-1)=13421772,'분석 결과'!Z44,"")</f>
        <v>불검출</v>
      </c>
      <c r="K44" s="61" t="str">
        <f>IF(GetColor('분석 결과'!K44,FALSE,-1)=13421772,'분석 결과'!AA44,"")</f>
        <v>불검출</v>
      </c>
      <c r="L44" s="61" t="str">
        <f>IF(GetColor('분석 결과'!L44,FALSE,-1)=13421772,'분석 결과'!AB44,"")</f>
        <v>불검출</v>
      </c>
      <c r="M44" s="61" t="str">
        <f>IF(GetColor('분석 결과'!M44,FALSE,-1)=13421772,'분석 결과'!AC44,"")</f>
        <v>불검출</v>
      </c>
      <c r="N44" s="61" t="str">
        <f>IF(GetColor('분석 결과'!N44,FALSE,-1)=13421772,'분석 결과'!AD44,"")</f>
        <v>불검출</v>
      </c>
      <c r="O44" s="61" t="str">
        <f>IF(GetColor('분석 결과'!O44,FALSE,-1)=13421772,'분석 결과'!AE44,"")</f>
        <v>불검출</v>
      </c>
      <c r="P44" s="61" t="str">
        <f>IF(GetColor('분석 결과'!P44,FALSE,-1)=13421772,'분석 결과'!AF44,"")</f>
        <v>불검출</v>
      </c>
      <c r="Q44" s="61" t="str">
        <f>IF(GetColor('분석 결과'!Q44,FALSE,-1)=13421772,'분석 결과'!AG44,"")</f>
        <v>불검출</v>
      </c>
      <c r="R44" s="61" t="str">
        <f>IF(GetColor('분석 결과'!R44,FALSE,-1)=13421772,'분석 결과'!AH44,"")</f>
        <v>불검출</v>
      </c>
      <c r="S44" s="61" t="str">
        <f>IF(GetColor('분석 결과'!S44,FALSE,-1)=13421772,'분석 결과'!AI44,"")</f>
        <v>불검출</v>
      </c>
      <c r="T44" s="60" t="str">
        <f>IF(GetColor('분석 결과'!T44,FALSE,-1)=13421772,'분석 결과'!AJ44,"")</f>
        <v>불검출</v>
      </c>
    </row>
    <row r="45" spans="1:20" x14ac:dyDescent="0.3">
      <c r="A45" s="19">
        <f>'분석 결과'!A45</f>
        <v>37</v>
      </c>
      <c r="B45" s="19" t="str">
        <f>'분석 결과'!B45</f>
        <v>4782300042-32</v>
      </c>
      <c r="C45" s="19" t="str">
        <f>'분석 결과'!C45</f>
        <v>덕유산 수 수소워터</v>
      </c>
      <c r="D45" s="53" t="str">
        <f>'분석 결과'!D45</f>
        <v>먹는샘물/먹는샘물제품수</v>
      </c>
      <c r="E45" s="53" t="str">
        <f>'분석 결과'!E45</f>
        <v>08-29</v>
      </c>
      <c r="F45" s="61" t="str">
        <f>IF(GetColor('분석 결과'!F45,FALSE,-1)=13421772,'분석 결과'!V45,"")</f>
        <v>불검출</v>
      </c>
      <c r="G45" s="61" t="str">
        <f>IF(GetColor('분석 결과'!G45,FALSE,-1)=13421772,'분석 결과'!W45,"")</f>
        <v>불검출</v>
      </c>
      <c r="H45" s="61" t="str">
        <f>IF(GetColor('분석 결과'!H45,FALSE,-1)=13421772,'분석 결과'!X45,"")</f>
        <v>불검출</v>
      </c>
      <c r="I45" s="61" t="str">
        <f>IF(GetColor('분석 결과'!I45,FALSE,-1)=13421772,'분석 결과'!Y45,"")</f>
        <v>불검출</v>
      </c>
      <c r="J45" s="61" t="str">
        <f>IF(GetColor('분석 결과'!J45,FALSE,-1)=13421772,'분석 결과'!Z45,"")</f>
        <v>불검출</v>
      </c>
      <c r="K45" s="61" t="str">
        <f>IF(GetColor('분석 결과'!K45,FALSE,-1)=13421772,'분석 결과'!AA45,"")</f>
        <v>불검출</v>
      </c>
      <c r="L45" s="61" t="str">
        <f>IF(GetColor('분석 결과'!L45,FALSE,-1)=13421772,'분석 결과'!AB45,"")</f>
        <v>불검출</v>
      </c>
      <c r="M45" s="61">
        <f>IF(GetColor('분석 결과'!M45,FALSE,-1)=13421772,'분석 결과'!AC45,"")</f>
        <v>1.6E-2</v>
      </c>
      <c r="N45" s="61" t="str">
        <f>IF(GetColor('분석 결과'!N45,FALSE,-1)=13421772,'분석 결과'!AD45,"")</f>
        <v>불검출</v>
      </c>
      <c r="O45" s="61" t="str">
        <f>IF(GetColor('분석 결과'!O45,FALSE,-1)=13421772,'분석 결과'!AE45,"")</f>
        <v>불검출</v>
      </c>
      <c r="P45" s="61">
        <f>IF(GetColor('분석 결과'!P45,FALSE,-1)=13421772,'분석 결과'!AF45,"")</f>
        <v>1.2E-2</v>
      </c>
      <c r="Q45" s="61">
        <f>IF(GetColor('분석 결과'!Q45,FALSE,-1)=13421772,'분석 결과'!AG45,"")</f>
        <v>1.3299999999999999E-2</v>
      </c>
      <c r="R45" s="61" t="str">
        <f>IF(GetColor('분석 결과'!R45,FALSE,-1)=13421772,'분석 결과'!AH45,"")</f>
        <v>불검출</v>
      </c>
      <c r="S45" s="61" t="str">
        <f>IF(GetColor('분석 결과'!S45,FALSE,-1)=13421772,'분석 결과'!AI45,"")</f>
        <v>불검출</v>
      </c>
      <c r="T45" s="60" t="str">
        <f>IF(GetColor('분석 결과'!T45,FALSE,-1)=13421772,'분석 결과'!AJ45,"")</f>
        <v>불검출</v>
      </c>
    </row>
    <row r="46" spans="1:20" x14ac:dyDescent="0.3">
      <c r="A46" s="19">
        <f>'분석 결과'!A46</f>
        <v>38</v>
      </c>
      <c r="B46" s="19" t="str">
        <f>'분석 결과'!B46</f>
        <v>4782300042-33</v>
      </c>
      <c r="C46" s="19" t="str">
        <f>'분석 결과'!C46</f>
        <v>퓨워터 하이드로젠 프리미엄</v>
      </c>
      <c r="D46" s="53" t="str">
        <f>'분석 결과'!D46</f>
        <v>먹는샘물/먹는샘물제품수</v>
      </c>
      <c r="E46" s="53" t="str">
        <f>'분석 결과'!E46</f>
        <v>08-29</v>
      </c>
      <c r="F46" s="61" t="str">
        <f>IF(GetColor('분석 결과'!F46,FALSE,-1)=13421772,'분석 결과'!V46,"")</f>
        <v>불검출</v>
      </c>
      <c r="G46" s="61" t="str">
        <f>IF(GetColor('분석 결과'!G46,FALSE,-1)=13421772,'분석 결과'!W46,"")</f>
        <v>불검출</v>
      </c>
      <c r="H46" s="61" t="str">
        <f>IF(GetColor('분석 결과'!H46,FALSE,-1)=13421772,'분석 결과'!X46,"")</f>
        <v>불검출</v>
      </c>
      <c r="I46" s="61" t="str">
        <f>IF(GetColor('분석 결과'!I46,FALSE,-1)=13421772,'분석 결과'!Y46,"")</f>
        <v>불검출</v>
      </c>
      <c r="J46" s="61" t="str">
        <f>IF(GetColor('분석 결과'!J46,FALSE,-1)=13421772,'분석 결과'!Z46,"")</f>
        <v>불검출</v>
      </c>
      <c r="K46" s="61" t="str">
        <f>IF(GetColor('분석 결과'!K46,FALSE,-1)=13421772,'분석 결과'!AA46,"")</f>
        <v>불검출</v>
      </c>
      <c r="L46" s="61" t="str">
        <f>IF(GetColor('분석 결과'!L46,FALSE,-1)=13421772,'분석 결과'!AB46,"")</f>
        <v>불검출</v>
      </c>
      <c r="M46" s="61" t="str">
        <f>IF(GetColor('분석 결과'!M46,FALSE,-1)=13421772,'분석 결과'!AC46,"")</f>
        <v>불검출</v>
      </c>
      <c r="N46" s="61" t="str">
        <f>IF(GetColor('분석 결과'!N46,FALSE,-1)=13421772,'분석 결과'!AD46,"")</f>
        <v>불검출</v>
      </c>
      <c r="O46" s="61" t="str">
        <f>IF(GetColor('분석 결과'!O46,FALSE,-1)=13421772,'분석 결과'!AE46,"")</f>
        <v>불검출</v>
      </c>
      <c r="P46" s="61">
        <f>IF(GetColor('분석 결과'!P46,FALSE,-1)=13421772,'분석 결과'!AF46,"")</f>
        <v>0.02</v>
      </c>
      <c r="Q46" s="61">
        <f>IF(GetColor('분석 결과'!Q46,FALSE,-1)=13421772,'분석 결과'!AG46,"")</f>
        <v>5.7999999999999996E-3</v>
      </c>
      <c r="R46" s="61">
        <f>IF(GetColor('분석 결과'!R46,FALSE,-1)=13421772,'분석 결과'!AH46,"")</f>
        <v>5.5000000000000003E-4</v>
      </c>
      <c r="S46" s="61">
        <f>IF(GetColor('분석 결과'!S46,FALSE,-1)=13421772,'분석 결과'!AI46,"")</f>
        <v>5.5000000000000003E-4</v>
      </c>
      <c r="T46" s="60">
        <f>IF(GetColor('분석 결과'!T46,FALSE,-1)=13421772,'분석 결과'!AJ46,"")</f>
        <v>3.8000000000000002E-4</v>
      </c>
    </row>
    <row r="47" spans="1:20" x14ac:dyDescent="0.3">
      <c r="A47" s="19">
        <f>'분석 결과'!A47</f>
        <v>39</v>
      </c>
      <c r="B47" s="19" t="str">
        <f>'분석 결과'!B47</f>
        <v>4782300042-34</v>
      </c>
      <c r="C47" s="19" t="str">
        <f>'분석 결과'!C47</f>
        <v>엔케이워터(NK water)</v>
      </c>
      <c r="D47" s="53" t="str">
        <f>'분석 결과'!D47</f>
        <v>먹는샘물/먹는샘물제품수</v>
      </c>
      <c r="E47" s="53" t="str">
        <f>'분석 결과'!E47</f>
        <v>08-29</v>
      </c>
      <c r="F47" s="61" t="str">
        <f>IF(GetColor('분석 결과'!F47,FALSE,-1)=13421772,'분석 결과'!V47,"")</f>
        <v>불검출</v>
      </c>
      <c r="G47" s="61" t="str">
        <f>IF(GetColor('분석 결과'!G47,FALSE,-1)=13421772,'분석 결과'!W47,"")</f>
        <v>불검출</v>
      </c>
      <c r="H47" s="61" t="str">
        <f>IF(GetColor('분석 결과'!H47,FALSE,-1)=13421772,'분석 결과'!X47,"")</f>
        <v>불검출</v>
      </c>
      <c r="I47" s="61" t="str">
        <f>IF(GetColor('분석 결과'!I47,FALSE,-1)=13421772,'분석 결과'!Y47,"")</f>
        <v>불검출</v>
      </c>
      <c r="J47" s="61" t="str">
        <f>IF(GetColor('분석 결과'!J47,FALSE,-1)=13421772,'분석 결과'!Z47,"")</f>
        <v>불검출</v>
      </c>
      <c r="K47" s="61" t="str">
        <f>IF(GetColor('분석 결과'!K47,FALSE,-1)=13421772,'분석 결과'!AA47,"")</f>
        <v>불검출</v>
      </c>
      <c r="L47" s="61" t="str">
        <f>IF(GetColor('분석 결과'!L47,FALSE,-1)=13421772,'분석 결과'!AB47,"")</f>
        <v>불검출</v>
      </c>
      <c r="M47" s="61">
        <f>IF(GetColor('분석 결과'!M47,FALSE,-1)=13421772,'분석 결과'!AC47,"")</f>
        <v>1.9900000000000001E-2</v>
      </c>
      <c r="N47" s="61" t="str">
        <f>IF(GetColor('분석 결과'!N47,FALSE,-1)=13421772,'분석 결과'!AD47,"")</f>
        <v>불검출</v>
      </c>
      <c r="O47" s="61">
        <f>IF(GetColor('분석 결과'!O47,FALSE,-1)=13421772,'분석 결과'!AE47,"")</f>
        <v>2.3E-2</v>
      </c>
      <c r="P47" s="61" t="str">
        <f>IF(GetColor('분석 결과'!P47,FALSE,-1)=13421772,'분석 결과'!AF47,"")</f>
        <v>불검출</v>
      </c>
      <c r="Q47" s="61">
        <f>IF(GetColor('분석 결과'!Q47,FALSE,-1)=13421772,'분석 결과'!AG47,"")</f>
        <v>8.0000000000000002E-3</v>
      </c>
      <c r="R47" s="61" t="str">
        <f>IF(GetColor('분석 결과'!R47,FALSE,-1)=13421772,'분석 결과'!AH47,"")</f>
        <v>불검출</v>
      </c>
      <c r="S47" s="61">
        <f>IF(GetColor('분석 결과'!S47,FALSE,-1)=13421772,'분석 결과'!AI47,"")</f>
        <v>4.6999999999999999E-4</v>
      </c>
      <c r="T47" s="60">
        <f>IF(GetColor('분석 결과'!T47,FALSE,-1)=13421772,'분석 결과'!AJ47,"")</f>
        <v>6.9999999999999994E-5</v>
      </c>
    </row>
    <row r="48" spans="1:20" x14ac:dyDescent="0.3">
      <c r="A48" s="19">
        <f>'분석 결과'!A48</f>
        <v>0</v>
      </c>
      <c r="B48" s="19">
        <f>'분석 결과'!B48</f>
        <v>0</v>
      </c>
      <c r="C48" s="19">
        <f>'분석 결과'!C48</f>
        <v>0</v>
      </c>
      <c r="D48" s="53">
        <f>'분석 결과'!D48</f>
        <v>0</v>
      </c>
      <c r="E48" s="53">
        <f>'분석 결과'!E48</f>
        <v>0</v>
      </c>
      <c r="F48" s="61" t="str">
        <f>IF(GetColor('분석 결과'!F48,FALSE,-1)=13421772,'분석 결과'!V48,"")</f>
        <v/>
      </c>
      <c r="G48" s="61" t="str">
        <f>IF(GetColor('분석 결과'!G48,FALSE,-1)=13421772,'분석 결과'!W48,"")</f>
        <v/>
      </c>
      <c r="H48" s="61" t="str">
        <f>IF(GetColor('분석 결과'!H48,FALSE,-1)=13421772,'분석 결과'!X48,"")</f>
        <v/>
      </c>
      <c r="I48" s="61" t="str">
        <f>IF(GetColor('분석 결과'!I48,FALSE,-1)=13421772,'분석 결과'!Y48,"")</f>
        <v/>
      </c>
      <c r="J48" s="61" t="str">
        <f>IF(GetColor('분석 결과'!J48,FALSE,-1)=13421772,'분석 결과'!Z48,"")</f>
        <v/>
      </c>
      <c r="K48" s="61" t="str">
        <f>IF(GetColor('분석 결과'!K48,FALSE,-1)=13421772,'분석 결과'!AA48,"")</f>
        <v/>
      </c>
      <c r="L48" s="61" t="str">
        <f>IF(GetColor('분석 결과'!L48,FALSE,-1)=13421772,'분석 결과'!AB48,"")</f>
        <v/>
      </c>
      <c r="M48" s="61" t="str">
        <f>IF(GetColor('분석 결과'!M48,FALSE,-1)=13421772,'분석 결과'!AC48,"")</f>
        <v/>
      </c>
      <c r="N48" s="61" t="str">
        <f>IF(GetColor('분석 결과'!N48,FALSE,-1)=13421772,'분석 결과'!AD48,"")</f>
        <v/>
      </c>
      <c r="O48" s="61" t="str">
        <f>IF(GetColor('분석 결과'!O48,FALSE,-1)=13421772,'분석 결과'!AE48,"")</f>
        <v/>
      </c>
      <c r="P48" s="61" t="str">
        <f>IF(GetColor('분석 결과'!P48,FALSE,-1)=13421772,'분석 결과'!AF48,"")</f>
        <v/>
      </c>
      <c r="Q48" s="61" t="str">
        <f>IF(GetColor('분석 결과'!Q48,FALSE,-1)=13421772,'분석 결과'!AG48,"")</f>
        <v/>
      </c>
      <c r="R48" s="61" t="str">
        <f>IF(GetColor('분석 결과'!R48,FALSE,-1)=13421772,'분석 결과'!AH48,"")</f>
        <v/>
      </c>
      <c r="S48" s="61" t="str">
        <f>IF(GetColor('분석 결과'!S48,FALSE,-1)=13421772,'분석 결과'!AI48,"")</f>
        <v/>
      </c>
      <c r="T48" s="60" t="str">
        <f>IF(GetColor('분석 결과'!T48,FALSE,-1)=13421772,'분석 결과'!AJ48,"")</f>
        <v/>
      </c>
    </row>
    <row r="49" spans="1:20" x14ac:dyDescent="0.3">
      <c r="A49" s="19">
        <f>'분석 결과'!A49</f>
        <v>0</v>
      </c>
      <c r="B49" s="19">
        <f>'분석 결과'!B49</f>
        <v>0</v>
      </c>
      <c r="C49" s="19">
        <f>'분석 결과'!C49</f>
        <v>0</v>
      </c>
      <c r="D49" s="53">
        <f>'분석 결과'!D49</f>
        <v>0</v>
      </c>
      <c r="E49" s="53">
        <f>'분석 결과'!E49</f>
        <v>0</v>
      </c>
      <c r="F49" s="61" t="str">
        <f>IF(GetColor('분석 결과'!F49,FALSE,-1)=13421772,'분석 결과'!V49,"")</f>
        <v/>
      </c>
      <c r="G49" s="61" t="str">
        <f>IF(GetColor('분석 결과'!G49,FALSE,-1)=13421772,'분석 결과'!W49,"")</f>
        <v/>
      </c>
      <c r="H49" s="61" t="str">
        <f>IF(GetColor('분석 결과'!H49,FALSE,-1)=13421772,'분석 결과'!X49,"")</f>
        <v/>
      </c>
      <c r="I49" s="61" t="str">
        <f>IF(GetColor('분석 결과'!I49,FALSE,-1)=13421772,'분석 결과'!Y49,"")</f>
        <v/>
      </c>
      <c r="J49" s="61" t="str">
        <f>IF(GetColor('분석 결과'!J49,FALSE,-1)=13421772,'분석 결과'!Z49,"")</f>
        <v/>
      </c>
      <c r="K49" s="61" t="str">
        <f>IF(GetColor('분석 결과'!K49,FALSE,-1)=13421772,'분석 결과'!AA49,"")</f>
        <v/>
      </c>
      <c r="L49" s="61" t="str">
        <f>IF(GetColor('분석 결과'!L49,FALSE,-1)=13421772,'분석 결과'!AB49,"")</f>
        <v/>
      </c>
      <c r="M49" s="61" t="str">
        <f>IF(GetColor('분석 결과'!M49,FALSE,-1)=13421772,'분석 결과'!AC49,"")</f>
        <v/>
      </c>
      <c r="N49" s="61" t="str">
        <f>IF(GetColor('분석 결과'!N49,FALSE,-1)=13421772,'분석 결과'!AD49,"")</f>
        <v/>
      </c>
      <c r="O49" s="61" t="str">
        <f>IF(GetColor('분석 결과'!O49,FALSE,-1)=13421772,'분석 결과'!AE49,"")</f>
        <v/>
      </c>
      <c r="P49" s="61" t="str">
        <f>IF(GetColor('분석 결과'!P49,FALSE,-1)=13421772,'분석 결과'!AF49,"")</f>
        <v/>
      </c>
      <c r="Q49" s="61" t="str">
        <f>IF(GetColor('분석 결과'!Q49,FALSE,-1)=13421772,'분석 결과'!AG49,"")</f>
        <v/>
      </c>
      <c r="R49" s="61" t="str">
        <f>IF(GetColor('분석 결과'!R49,FALSE,-1)=13421772,'분석 결과'!AH49,"")</f>
        <v/>
      </c>
      <c r="S49" s="61" t="str">
        <f>IF(GetColor('분석 결과'!S49,FALSE,-1)=13421772,'분석 결과'!AI49,"")</f>
        <v/>
      </c>
      <c r="T49" s="60" t="str">
        <f>IF(GetColor('분석 결과'!T49,FALSE,-1)=13421772,'분석 결과'!AJ49,"")</f>
        <v/>
      </c>
    </row>
    <row r="50" spans="1:20" x14ac:dyDescent="0.3">
      <c r="A50" s="19">
        <f>'분석 결과'!A50</f>
        <v>0</v>
      </c>
      <c r="B50" s="19">
        <f>'분석 결과'!B50</f>
        <v>0</v>
      </c>
      <c r="C50" s="19">
        <f>'분석 결과'!C50</f>
        <v>0</v>
      </c>
      <c r="D50" s="53">
        <f>'분석 결과'!D50</f>
        <v>0</v>
      </c>
      <c r="E50" s="53">
        <f>'분석 결과'!E50</f>
        <v>0</v>
      </c>
      <c r="F50" s="61" t="str">
        <f>IF(GetColor('분석 결과'!F50,FALSE,-1)=13421772,'분석 결과'!V50,"")</f>
        <v/>
      </c>
      <c r="G50" s="61" t="str">
        <f>IF(GetColor('분석 결과'!G50,FALSE,-1)=13421772,'분석 결과'!W50,"")</f>
        <v/>
      </c>
      <c r="H50" s="61" t="str">
        <f>IF(GetColor('분석 결과'!H50,FALSE,-1)=13421772,'분석 결과'!X50,"")</f>
        <v/>
      </c>
      <c r="I50" s="61" t="str">
        <f>IF(GetColor('분석 결과'!I50,FALSE,-1)=13421772,'분석 결과'!Y50,"")</f>
        <v/>
      </c>
      <c r="J50" s="61" t="str">
        <f>IF(GetColor('분석 결과'!J50,FALSE,-1)=13421772,'분석 결과'!Z50,"")</f>
        <v/>
      </c>
      <c r="K50" s="61" t="str">
        <f>IF(GetColor('분석 결과'!K50,FALSE,-1)=13421772,'분석 결과'!AA50,"")</f>
        <v/>
      </c>
      <c r="L50" s="61" t="str">
        <f>IF(GetColor('분석 결과'!L50,FALSE,-1)=13421772,'분석 결과'!AB50,"")</f>
        <v/>
      </c>
      <c r="M50" s="61" t="str">
        <f>IF(GetColor('분석 결과'!M50,FALSE,-1)=13421772,'분석 결과'!AC50,"")</f>
        <v/>
      </c>
      <c r="N50" s="61" t="str">
        <f>IF(GetColor('분석 결과'!N50,FALSE,-1)=13421772,'분석 결과'!AD50,"")</f>
        <v/>
      </c>
      <c r="O50" s="61" t="str">
        <f>IF(GetColor('분석 결과'!O50,FALSE,-1)=13421772,'분석 결과'!AE50,"")</f>
        <v/>
      </c>
      <c r="P50" s="61" t="str">
        <f>IF(GetColor('분석 결과'!P50,FALSE,-1)=13421772,'분석 결과'!AF50,"")</f>
        <v/>
      </c>
      <c r="Q50" s="61" t="str">
        <f>IF(GetColor('분석 결과'!Q50,FALSE,-1)=13421772,'분석 결과'!AG50,"")</f>
        <v/>
      </c>
      <c r="R50" s="61" t="str">
        <f>IF(GetColor('분석 결과'!R50,FALSE,-1)=13421772,'분석 결과'!AH50,"")</f>
        <v/>
      </c>
      <c r="S50" s="61" t="str">
        <f>IF(GetColor('분석 결과'!S50,FALSE,-1)=13421772,'분석 결과'!AI50,"")</f>
        <v/>
      </c>
      <c r="T50" s="60" t="str">
        <f>IF(GetColor('분석 결과'!T50,FALSE,-1)=13421772,'분석 결과'!AJ50,"")</f>
        <v/>
      </c>
    </row>
  </sheetData>
  <autoFilter ref="A7:AI17"/>
  <mergeCells count="1">
    <mergeCell ref="A1:D6"/>
  </mergeCells>
  <phoneticPr fontId="1" type="noConversion"/>
  <printOptions horizontalCentered="1"/>
  <pageMargins left="0.25" right="0.25" top="0.75" bottom="0.75" header="0.3" footer="0.3"/>
  <pageSetup paperSize="9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I45"/>
  <sheetViews>
    <sheetView zoomScaleNormal="100" zoomScaleSheetLayoutView="110" workbookViewId="0">
      <pane ySplit="7" topLeftCell="A14" activePane="bottomLeft" state="frozen"/>
      <selection pane="bottomLeft" activeCell="J28" sqref="J28"/>
    </sheetView>
  </sheetViews>
  <sheetFormatPr defaultColWidth="9" defaultRowHeight="12" x14ac:dyDescent="0.3"/>
  <cols>
    <col min="1" max="1" width="5" style="2" bestFit="1" customWidth="1"/>
    <col min="2" max="2" width="15.375" style="2" customWidth="1"/>
    <col min="3" max="3" width="16.75" style="2" customWidth="1"/>
    <col min="4" max="4" width="18.375" style="2" customWidth="1"/>
    <col min="5" max="5" width="10" style="2" customWidth="1"/>
    <col min="6" max="20" width="7.5" style="2" customWidth="1"/>
    <col min="21" max="21" width="4.5" style="24" customWidth="1"/>
    <col min="22" max="22" width="5.625" style="25" customWidth="1"/>
    <col min="23" max="25" width="5.625" style="4" customWidth="1"/>
    <col min="26" max="26" width="5.625" style="5" customWidth="1"/>
    <col min="27" max="32" width="5.625" style="4" customWidth="1"/>
    <col min="33" max="33" width="6.875" style="4" customWidth="1"/>
    <col min="34" max="35" width="6.375" style="4" customWidth="1"/>
    <col min="36" max="16384" width="9" style="6"/>
  </cols>
  <sheetData>
    <row r="1" spans="1:35" x14ac:dyDescent="0.3">
      <c r="A1" s="88" t="s">
        <v>27</v>
      </c>
      <c r="B1" s="88"/>
      <c r="C1" s="88"/>
      <c r="D1" s="89"/>
      <c r="E1" s="14"/>
      <c r="F1" s="14" t="s">
        <v>0</v>
      </c>
      <c r="G1" s="14" t="s">
        <v>1</v>
      </c>
      <c r="H1" s="14" t="s">
        <v>2</v>
      </c>
      <c r="I1" s="14" t="s">
        <v>3</v>
      </c>
      <c r="J1" s="14" t="s">
        <v>4</v>
      </c>
      <c r="K1" s="14" t="s">
        <v>5</v>
      </c>
      <c r="L1" s="14" t="s">
        <v>6</v>
      </c>
      <c r="M1" s="14" t="s">
        <v>7</v>
      </c>
      <c r="N1" s="14" t="s">
        <v>8</v>
      </c>
      <c r="O1" s="14" t="s">
        <v>9</v>
      </c>
      <c r="P1" s="14" t="s">
        <v>10</v>
      </c>
      <c r="Q1" s="14" t="s">
        <v>11</v>
      </c>
      <c r="R1" s="14" t="s">
        <v>12</v>
      </c>
      <c r="S1" s="14" t="s">
        <v>13</v>
      </c>
      <c r="T1" s="14" t="s">
        <v>14</v>
      </c>
      <c r="U1" s="3"/>
      <c r="V1" s="4"/>
    </row>
    <row r="2" spans="1:35" x14ac:dyDescent="0.3">
      <c r="A2" s="88"/>
      <c r="B2" s="88"/>
      <c r="C2" s="88"/>
      <c r="D2" s="89"/>
      <c r="E2" s="7" t="s">
        <v>15</v>
      </c>
      <c r="F2" s="7">
        <v>3</v>
      </c>
      <c r="G2" s="7">
        <v>3</v>
      </c>
      <c r="H2" s="7">
        <v>3</v>
      </c>
      <c r="I2" s="7">
        <v>3</v>
      </c>
      <c r="J2" s="7">
        <v>3</v>
      </c>
      <c r="K2" s="7">
        <v>2</v>
      </c>
      <c r="L2" s="7">
        <v>3</v>
      </c>
      <c r="M2" s="7">
        <v>3</v>
      </c>
      <c r="N2" s="7">
        <v>3</v>
      </c>
      <c r="O2" s="7">
        <v>2</v>
      </c>
      <c r="P2" s="7">
        <v>2</v>
      </c>
      <c r="Q2" s="7">
        <v>3</v>
      </c>
      <c r="R2" s="7">
        <v>4</v>
      </c>
      <c r="S2" s="7">
        <v>4</v>
      </c>
      <c r="T2" s="7">
        <v>5</v>
      </c>
      <c r="U2" s="3"/>
      <c r="V2" s="4"/>
    </row>
    <row r="3" spans="1:35" x14ac:dyDescent="0.3">
      <c r="A3" s="88"/>
      <c r="B3" s="88"/>
      <c r="C3" s="88"/>
      <c r="D3" s="89"/>
      <c r="E3" s="7" t="s">
        <v>16</v>
      </c>
      <c r="F3" s="32">
        <v>1E-3</v>
      </c>
      <c r="G3" s="32">
        <v>1E-3</v>
      </c>
      <c r="H3" s="32">
        <v>1E-3</v>
      </c>
      <c r="I3" s="32">
        <v>5.0000000000000001E-4</v>
      </c>
      <c r="J3" s="32">
        <v>1E-3</v>
      </c>
      <c r="K3" s="32">
        <v>3.0000000000000001E-3</v>
      </c>
      <c r="L3" s="32">
        <v>5.0000000000000001E-4</v>
      </c>
      <c r="M3" s="32">
        <v>1E-3</v>
      </c>
      <c r="N3" s="32">
        <v>5.0000000000000001E-4</v>
      </c>
      <c r="O3" s="32">
        <v>2E-3</v>
      </c>
      <c r="P3" s="32">
        <v>1E-3</v>
      </c>
      <c r="Q3" s="32">
        <v>1E-3</v>
      </c>
      <c r="R3" s="32">
        <v>1E-4</v>
      </c>
      <c r="S3" s="32"/>
      <c r="T3" s="32"/>
      <c r="U3" s="3"/>
      <c r="V3" s="4"/>
    </row>
    <row r="4" spans="1:35" x14ac:dyDescent="0.3">
      <c r="A4" s="88"/>
      <c r="B4" s="88"/>
      <c r="C4" s="88"/>
      <c r="D4" s="89"/>
      <c r="E4" s="8" t="s">
        <v>17</v>
      </c>
      <c r="F4" s="9">
        <v>5.0000000000000001E-3</v>
      </c>
      <c r="G4" s="9">
        <v>5.0000000000000001E-3</v>
      </c>
      <c r="H4" s="9">
        <v>5.0000000000000001E-3</v>
      </c>
      <c r="I4" s="9">
        <v>1E-3</v>
      </c>
      <c r="J4" s="9">
        <v>8.0000000000000002E-3</v>
      </c>
      <c r="K4" s="10">
        <v>0.05</v>
      </c>
      <c r="L4" s="9">
        <v>4.0000000000000001E-3</v>
      </c>
      <c r="M4" s="9">
        <v>4.0000000000000001E-3</v>
      </c>
      <c r="N4" s="9">
        <v>2E-3</v>
      </c>
      <c r="O4" s="10">
        <v>0.02</v>
      </c>
      <c r="P4" s="10">
        <v>0.01</v>
      </c>
      <c r="Q4" s="9">
        <v>2E-3</v>
      </c>
      <c r="R4" s="11">
        <v>1E-4</v>
      </c>
      <c r="S4" s="11">
        <v>2.9999999999999997E-4</v>
      </c>
      <c r="T4" s="12">
        <v>5.0000000000000002E-5</v>
      </c>
      <c r="U4" s="13"/>
      <c r="V4" s="4"/>
    </row>
    <row r="5" spans="1:35" x14ac:dyDescent="0.3">
      <c r="A5" s="88"/>
      <c r="B5" s="88"/>
      <c r="C5" s="88"/>
      <c r="D5" s="89"/>
      <c r="E5" s="62" t="s">
        <v>18</v>
      </c>
      <c r="F5" s="63">
        <v>0.01</v>
      </c>
      <c r="G5" s="63">
        <v>0.01</v>
      </c>
      <c r="H5" s="63">
        <v>0.01</v>
      </c>
      <c r="I5" s="64">
        <v>1E-3</v>
      </c>
      <c r="J5" s="63">
        <v>0.05</v>
      </c>
      <c r="K5" s="65">
        <v>0.3</v>
      </c>
      <c r="L5" s="65">
        <v>0.3</v>
      </c>
      <c r="M5" s="66">
        <v>1</v>
      </c>
      <c r="N5" s="64">
        <v>5.0000000000000001E-3</v>
      </c>
      <c r="O5" s="65">
        <v>0.2</v>
      </c>
      <c r="P5" s="66">
        <v>1</v>
      </c>
      <c r="Q5" s="66">
        <v>3</v>
      </c>
      <c r="R5" s="63">
        <v>0.03</v>
      </c>
      <c r="S5" s="64" t="s">
        <v>32</v>
      </c>
      <c r="T5" s="64" t="s">
        <v>34</v>
      </c>
      <c r="U5" s="15"/>
      <c r="V5" s="4"/>
    </row>
    <row r="6" spans="1:35" x14ac:dyDescent="0.3">
      <c r="A6" s="90"/>
      <c r="B6" s="90"/>
      <c r="C6" s="90"/>
      <c r="D6" s="91"/>
      <c r="E6" s="67" t="s">
        <v>125</v>
      </c>
      <c r="F6" s="68"/>
      <c r="G6" s="69" t="s">
        <v>126</v>
      </c>
      <c r="H6" s="69" t="s">
        <v>127</v>
      </c>
      <c r="I6" s="68"/>
      <c r="J6" s="68"/>
      <c r="K6" s="68"/>
      <c r="L6" s="68" t="s">
        <v>20</v>
      </c>
      <c r="M6" s="68"/>
      <c r="N6" s="68"/>
      <c r="O6" s="68"/>
      <c r="P6" s="68"/>
      <c r="Q6" s="68"/>
      <c r="R6" s="68"/>
      <c r="S6" s="68"/>
      <c r="T6" s="68"/>
      <c r="U6" s="15"/>
      <c r="V6" s="4"/>
    </row>
    <row r="7" spans="1:35" s="18" customFormat="1" x14ac:dyDescent="0.3">
      <c r="A7" s="16" t="s">
        <v>21</v>
      </c>
      <c r="B7" s="50" t="s">
        <v>22</v>
      </c>
      <c r="C7" s="50" t="s">
        <v>23</v>
      </c>
      <c r="D7" s="50" t="s">
        <v>24</v>
      </c>
      <c r="E7" s="50" t="s">
        <v>25</v>
      </c>
      <c r="F7" s="77" t="s">
        <v>0</v>
      </c>
      <c r="G7" s="50" t="s">
        <v>1</v>
      </c>
      <c r="H7" s="50" t="s">
        <v>2</v>
      </c>
      <c r="I7" s="77" t="s">
        <v>26</v>
      </c>
      <c r="J7" s="77" t="s">
        <v>4</v>
      </c>
      <c r="K7" s="50" t="s">
        <v>5</v>
      </c>
      <c r="L7" s="50" t="s">
        <v>6</v>
      </c>
      <c r="M7" s="50" t="s">
        <v>7</v>
      </c>
      <c r="N7" s="77" t="s">
        <v>8</v>
      </c>
      <c r="O7" s="50" t="s">
        <v>9</v>
      </c>
      <c r="P7" s="50" t="s">
        <v>10</v>
      </c>
      <c r="Q7" s="50" t="s">
        <v>11</v>
      </c>
      <c r="R7" s="50" t="s">
        <v>12</v>
      </c>
      <c r="S7" s="50" t="s">
        <v>13</v>
      </c>
      <c r="T7" s="50" t="s">
        <v>14</v>
      </c>
      <c r="U7" s="17"/>
    </row>
    <row r="8" spans="1:35" s="18" customFormat="1" x14ac:dyDescent="0.3">
      <c r="A8" s="19">
        <v>1</v>
      </c>
      <c r="B8" s="19" t="str">
        <f>'분석 결과'!B10</f>
        <v>1782300154-01</v>
      </c>
      <c r="C8" s="19" t="str">
        <f>'분석 결과'!C10</f>
        <v>경기 양주시 백석읍 기산로440번길 74-19 송천</v>
      </c>
      <c r="D8" s="53" t="str">
        <f>'분석 결과'!D10</f>
        <v>지하수/먹는물/지하수 46항+출장</v>
      </c>
      <c r="E8" s="53" t="str">
        <f>'분석 결과'!E10</f>
        <v>08-30</v>
      </c>
      <c r="F8" s="61" t="str">
        <f>IF(GetColor('분석 결과'!F10,FALSE,-1)=13421772,'분석 결과'!V10,"")</f>
        <v>불검출</v>
      </c>
      <c r="G8" s="61" t="str">
        <f>IF(GetColor('분석 결과'!G10,FALSE,-1)=13421772,'분석 결과'!W10,"")</f>
        <v>불검출</v>
      </c>
      <c r="H8" s="61" t="str">
        <f>IF(GetColor('분석 결과'!H10,FALSE,-1)=13421772,'분석 결과'!X10,"")</f>
        <v>불검출</v>
      </c>
      <c r="I8" s="61" t="str">
        <f>IF(GetColor('분석 결과'!I10,FALSE,-1)=13421772,'분석 결과'!Y10,"")</f>
        <v>불검출</v>
      </c>
      <c r="J8" s="61" t="str">
        <f>IF(GetColor('분석 결과'!J10,FALSE,-1)=13421772,'분석 결과'!Z10,"")</f>
        <v>불검출</v>
      </c>
      <c r="K8" s="61" t="str">
        <f>IF(GetColor('분석 결과'!K10,FALSE,-1)=13421772,'분석 결과'!AA10,"")</f>
        <v>불검출</v>
      </c>
      <c r="L8" s="61" t="str">
        <f>IF(GetColor('분석 결과'!L10,FALSE,-1)=13421772,'분석 결과'!AB10,"")</f>
        <v>불검출</v>
      </c>
      <c r="M8" s="61" t="str">
        <f>IF(GetColor('분석 결과'!M10,FALSE,-1)=13421772,'분석 결과'!AC10,"")</f>
        <v>불검출</v>
      </c>
      <c r="N8" s="61" t="str">
        <f>IF(GetColor('분석 결과'!N10,FALSE,-1)=13421772,'분석 결과'!AD10,"")</f>
        <v>불검출</v>
      </c>
      <c r="O8" s="61" t="str">
        <f>IF(GetColor('분석 결과'!O10,FALSE,-1)=13421772,'분석 결과'!AE10,"")</f>
        <v>불검출</v>
      </c>
      <c r="P8" s="92">
        <f>IF(GetColor('분석 결과'!P10,FALSE,-1)=13421772,'분석 결과'!AF10,"")</f>
        <v>1.0999999999999999E-2</v>
      </c>
      <c r="Q8" s="92">
        <f>IF(GetColor('분석 결과'!Q10,FALSE,-1)=13421772,'분석 결과'!AG10,"")</f>
        <v>3.9100000000000003E-2</v>
      </c>
      <c r="R8" s="61" t="str">
        <f>IF(GetColor('분석 결과'!R10,FALSE,-1)=13421772,'분석 결과'!AH10,"")</f>
        <v/>
      </c>
      <c r="S8" s="61" t="str">
        <f>IF(GetColor('분석 결과'!S10,FALSE,-1)=13421772,'분석 결과'!AI10,"")</f>
        <v/>
      </c>
      <c r="T8" s="60" t="str">
        <f>IF(GetColor('분석 결과'!T10,FALSE,-1)=13421772,'분석 결과'!AJ10,"")</f>
        <v/>
      </c>
      <c r="U8" s="1"/>
      <c r="V8" s="20"/>
      <c r="W8" s="20"/>
      <c r="X8" s="20"/>
      <c r="Y8" s="20"/>
      <c r="Z8" s="21"/>
      <c r="AA8" s="20"/>
      <c r="AB8" s="20"/>
      <c r="AC8" s="20"/>
      <c r="AD8" s="20"/>
      <c r="AE8" s="20"/>
      <c r="AF8" s="20"/>
      <c r="AG8" s="22"/>
      <c r="AH8" s="22"/>
      <c r="AI8" s="23"/>
    </row>
    <row r="9" spans="1:35" s="18" customFormat="1" x14ac:dyDescent="0.3">
      <c r="A9" s="19">
        <v>1</v>
      </c>
      <c r="B9" s="19" t="str">
        <f>'분석 결과'!B13</f>
        <v>1782300155-01</v>
      </c>
      <c r="C9" s="19" t="str">
        <f>'분석 결과'!C13</f>
        <v>경기도 의정부시 체육로 265-25</v>
      </c>
      <c r="D9" s="53" t="str">
        <f>'분석 결과'!D13</f>
        <v>옥내급수관/옥내급수관+출장</v>
      </c>
      <c r="E9" s="53" t="str">
        <f>'분석 결과'!E13</f>
        <v>08-30</v>
      </c>
      <c r="F9" s="61" t="str">
        <f>IF(GetColor('분석 결과'!F13,FALSE,-1)=13421772,'분석 결과'!V13,"")</f>
        <v>불검출</v>
      </c>
      <c r="G9" s="61" t="str">
        <f>IF(GetColor('분석 결과'!G13,FALSE,-1)=13421772,'분석 결과'!W13,"")</f>
        <v/>
      </c>
      <c r="H9" s="61" t="str">
        <f>IF(GetColor('분석 결과'!H13,FALSE,-1)=13421772,'분석 결과'!X13,"")</f>
        <v/>
      </c>
      <c r="I9" s="61" t="str">
        <f>IF(GetColor('분석 결과'!I13,FALSE,-1)=13421772,'분석 결과'!Y13,"")</f>
        <v/>
      </c>
      <c r="J9" s="61" t="str">
        <f>IF(GetColor('분석 결과'!J13,FALSE,-1)=13421772,'분석 결과'!Z13,"")</f>
        <v/>
      </c>
      <c r="K9" s="61" t="str">
        <f>IF(GetColor('분석 결과'!K13,FALSE,-1)=13421772,'분석 결과'!AA13,"")</f>
        <v>불검출</v>
      </c>
      <c r="L9" s="61" t="str">
        <f>IF(GetColor('분석 결과'!L13,FALSE,-1)=13421772,'분석 결과'!AB13,"")</f>
        <v/>
      </c>
      <c r="M9" s="61" t="str">
        <f>IF(GetColor('분석 결과'!M13,FALSE,-1)=13421772,'분석 결과'!AC13,"")</f>
        <v>불검출</v>
      </c>
      <c r="N9" s="61" t="str">
        <f>IF(GetColor('분석 결과'!N13,FALSE,-1)=13421772,'분석 결과'!AD13,"")</f>
        <v/>
      </c>
      <c r="O9" s="61" t="str">
        <f>IF(GetColor('분석 결과'!O13,FALSE,-1)=13421772,'분석 결과'!AE13,"")</f>
        <v/>
      </c>
      <c r="P9" s="61" t="str">
        <f>IF(GetColor('분석 결과'!P13,FALSE,-1)=13421772,'분석 결과'!AF13,"")</f>
        <v/>
      </c>
      <c r="Q9" s="61" t="str">
        <f>IF(GetColor('분석 결과'!Q13,FALSE,-1)=13421772,'분석 결과'!AG13,"")</f>
        <v>불검출</v>
      </c>
      <c r="R9" s="61" t="str">
        <f>IF(GetColor('분석 결과'!R13,FALSE,-1)=13421772,'분석 결과'!AH13,"")</f>
        <v/>
      </c>
      <c r="S9" s="61" t="str">
        <f>IF(GetColor('분석 결과'!S13,FALSE,-1)=13421772,'분석 결과'!AI13,"")</f>
        <v/>
      </c>
      <c r="T9" s="60" t="str">
        <f>IF(GetColor('분석 결과'!T13,FALSE,-1)=13421772,'분석 결과'!AJ13,"")</f>
        <v/>
      </c>
      <c r="U9" s="1"/>
      <c r="V9" s="20"/>
      <c r="W9" s="20"/>
      <c r="X9" s="20"/>
      <c r="Y9" s="20"/>
      <c r="Z9" s="21"/>
      <c r="AA9" s="20"/>
      <c r="AB9" s="20"/>
      <c r="AC9" s="20"/>
      <c r="AD9" s="20"/>
      <c r="AE9" s="20"/>
      <c r="AF9" s="20"/>
      <c r="AG9" s="22"/>
      <c r="AH9" s="22"/>
      <c r="AI9" s="23"/>
    </row>
    <row r="10" spans="1:35" s="18" customFormat="1" x14ac:dyDescent="0.3">
      <c r="A10" s="19">
        <v>1</v>
      </c>
      <c r="B10" s="19" t="str">
        <f>'분석 결과'!B9</f>
        <v>2782300165-01</v>
      </c>
      <c r="C10" s="19" t="str">
        <f>'분석 결과'!C9</f>
        <v>경기 가평군 가평읍 달전리 391-1 수돗물(가평)</v>
      </c>
      <c r="D10" s="53" t="str">
        <f>'분석 결과'!D9</f>
        <v>수도/상수정수/상수정수</v>
      </c>
      <c r="E10" s="53" t="str">
        <f>'분석 결과'!E9</f>
        <v>08-28</v>
      </c>
      <c r="F10" s="61" t="str">
        <f>IF(GetColor('분석 결과'!F9,FALSE,-1)=13421772,'분석 결과'!V9,"")</f>
        <v>불검출</v>
      </c>
      <c r="G10" s="61" t="str">
        <f>IF(GetColor('분석 결과'!G9,FALSE,-1)=13421772,'분석 결과'!W9,"")</f>
        <v>불검출</v>
      </c>
      <c r="H10" s="61" t="str">
        <f>IF(GetColor('분석 결과'!H9,FALSE,-1)=13421772,'분석 결과'!X9,"")</f>
        <v>불검출</v>
      </c>
      <c r="I10" s="61" t="str">
        <f>IF(GetColor('분석 결과'!I9,FALSE,-1)=13421772,'분석 결과'!Y9,"")</f>
        <v>불검출</v>
      </c>
      <c r="J10" s="61" t="str">
        <f>IF(GetColor('분석 결과'!J9,FALSE,-1)=13421772,'분석 결과'!Z9,"")</f>
        <v>불검출</v>
      </c>
      <c r="K10" s="61" t="str">
        <f>IF(GetColor('분석 결과'!K9,FALSE,-1)=13421772,'분석 결과'!AA9,"")</f>
        <v>불검출</v>
      </c>
      <c r="L10" s="61" t="str">
        <f>IF(GetColor('분석 결과'!L9,FALSE,-1)=13421772,'분석 결과'!AB9,"")</f>
        <v>불검출</v>
      </c>
      <c r="M10" s="92">
        <f>IF(GetColor('분석 결과'!M9,FALSE,-1)=13421772,'분석 결과'!AC9,"")</f>
        <v>4.4999999999999997E-3</v>
      </c>
      <c r="N10" s="61" t="str">
        <f>IF(GetColor('분석 결과'!N9,FALSE,-1)=13421772,'분석 결과'!AD9,"")</f>
        <v>불검출</v>
      </c>
      <c r="O10" s="61" t="str">
        <f>IF(GetColor('분석 결과'!O9,FALSE,-1)=13421772,'분석 결과'!AE9,"")</f>
        <v>불검출</v>
      </c>
      <c r="P10" s="61" t="str">
        <f>IF(GetColor('분석 결과'!P9,FALSE,-1)=13421772,'분석 결과'!AF9,"")</f>
        <v>불검출</v>
      </c>
      <c r="Q10" s="92">
        <f>IF(GetColor('분석 결과'!Q9,FALSE,-1)=13421772,'분석 결과'!AG9,"")</f>
        <v>6.8999999999999999E-3</v>
      </c>
      <c r="R10" s="61" t="str">
        <f>IF(GetColor('분석 결과'!R9,FALSE,-1)=13421772,'분석 결과'!AH9,"")</f>
        <v/>
      </c>
      <c r="S10" s="61" t="str">
        <f>IF(GetColor('분석 결과'!S9,FALSE,-1)=13421772,'분석 결과'!AI9,"")</f>
        <v/>
      </c>
      <c r="T10" s="60" t="str">
        <f>IF(GetColor('분석 결과'!T9,FALSE,-1)=13421772,'분석 결과'!AJ9,"")</f>
        <v/>
      </c>
      <c r="U10" s="1"/>
      <c r="V10" s="20"/>
      <c r="W10" s="20"/>
      <c r="X10" s="20"/>
      <c r="Y10" s="20"/>
      <c r="Z10" s="21"/>
      <c r="AA10" s="20"/>
      <c r="AB10" s="20"/>
      <c r="AC10" s="20"/>
      <c r="AD10" s="20"/>
      <c r="AE10" s="20"/>
      <c r="AF10" s="20"/>
      <c r="AG10" s="22"/>
      <c r="AH10" s="22"/>
      <c r="AI10" s="23"/>
    </row>
    <row r="11" spans="1:35" s="18" customFormat="1" x14ac:dyDescent="0.3">
      <c r="A11" s="19">
        <v>1</v>
      </c>
      <c r="B11" s="19" t="str">
        <f>'분석 결과'!B14</f>
        <v>4782300042-01</v>
      </c>
      <c r="C11" s="19" t="str">
        <f>'분석 결과'!C14</f>
        <v>에이워터 내추럴 알칼리수</v>
      </c>
      <c r="D11" s="53" t="str">
        <f>'분석 결과'!D14</f>
        <v>먹는샘물/먹는샘물제품수</v>
      </c>
      <c r="E11" s="53" t="str">
        <f>'분석 결과'!E14</f>
        <v>08-29</v>
      </c>
      <c r="F11" s="61" t="str">
        <f>IF(GetColor('분석 결과'!F14,FALSE,-1)=13421772,'분석 결과'!V14,"")</f>
        <v>불검출</v>
      </c>
      <c r="G11" s="61" t="str">
        <f>IF(GetColor('분석 결과'!G14,FALSE,-1)=13421772,'분석 결과'!W14,"")</f>
        <v>불검출</v>
      </c>
      <c r="H11" s="61" t="str">
        <f>IF(GetColor('분석 결과'!H14,FALSE,-1)=13421772,'분석 결과'!X14,"")</f>
        <v>불검출</v>
      </c>
      <c r="I11" s="61" t="str">
        <f>IF(GetColor('분석 결과'!I14,FALSE,-1)=13421772,'분석 결과'!Y14,"")</f>
        <v>불검출</v>
      </c>
      <c r="J11" s="61" t="str">
        <f>IF(GetColor('분석 결과'!J14,FALSE,-1)=13421772,'분석 결과'!Z14,"")</f>
        <v>불검출</v>
      </c>
      <c r="K11" s="61" t="str">
        <f>IF(GetColor('분석 결과'!K14,FALSE,-1)=13421772,'분석 결과'!AA14,"")</f>
        <v>불검출</v>
      </c>
      <c r="L11" s="92">
        <f>IF(GetColor('분석 결과'!L14,FALSE,-1)=13421772,'분석 결과'!AB14,"")</f>
        <v>5.3E-3</v>
      </c>
      <c r="M11" s="61" t="str">
        <f>IF(GetColor('분석 결과'!M14,FALSE,-1)=13421772,'분석 결과'!AC14,"")</f>
        <v>불검출</v>
      </c>
      <c r="N11" s="61" t="str">
        <f>IF(GetColor('분석 결과'!N14,FALSE,-1)=13421772,'분석 결과'!AD14,"")</f>
        <v>불검출</v>
      </c>
      <c r="O11" s="61" t="str">
        <f>IF(GetColor('분석 결과'!O14,FALSE,-1)=13421772,'분석 결과'!AE14,"")</f>
        <v>불검출</v>
      </c>
      <c r="P11" s="61" t="str">
        <f>IF(GetColor('분석 결과'!P14,FALSE,-1)=13421772,'분석 결과'!AF14,"")</f>
        <v>불검출</v>
      </c>
      <c r="Q11" s="92">
        <f>IF(GetColor('분석 결과'!Q14,FALSE,-1)=13421772,'분석 결과'!AG14,"")</f>
        <v>2.8999999999999998E-3</v>
      </c>
      <c r="R11" s="92">
        <f>IF(GetColor('분석 결과'!R14,FALSE,-1)=13421772,'분석 결과'!AH14,"")</f>
        <v>1.9400000000000001E-3</v>
      </c>
      <c r="S11" s="92">
        <f>IF(GetColor('분석 결과'!S14,FALSE,-1)=13421772,'분석 결과'!AI14,"")</f>
        <v>3.5699999999999998E-3</v>
      </c>
      <c r="T11" s="94">
        <f>IF(GetColor('분석 결과'!T14,FALSE,-1)=13421772,'분석 결과'!AJ14,"")</f>
        <v>3.6000000000000002E-4</v>
      </c>
      <c r="U11" s="1"/>
      <c r="V11" s="20"/>
      <c r="W11" s="20"/>
      <c r="X11" s="20"/>
      <c r="Y11" s="20"/>
      <c r="Z11" s="21"/>
      <c r="AA11" s="20"/>
      <c r="AB11" s="20"/>
      <c r="AC11" s="20"/>
      <c r="AD11" s="20"/>
      <c r="AE11" s="20"/>
      <c r="AF11" s="20"/>
      <c r="AG11" s="22"/>
      <c r="AH11" s="22"/>
      <c r="AI11" s="23"/>
    </row>
    <row r="12" spans="1:35" s="18" customFormat="1" x14ac:dyDescent="0.3">
      <c r="A12" s="19">
        <v>1</v>
      </c>
      <c r="B12" s="19" t="str">
        <f>'분석 결과'!B15</f>
        <v>4782300042-02</v>
      </c>
      <c r="C12" s="19" t="str">
        <f>'분석 결과'!C15</f>
        <v>37.4 미네랄워터</v>
      </c>
      <c r="D12" s="53" t="str">
        <f>'분석 결과'!D15</f>
        <v>먹는샘물/먹는샘물제품수</v>
      </c>
      <c r="E12" s="53" t="str">
        <f>'분석 결과'!E15</f>
        <v>08-29</v>
      </c>
      <c r="F12" s="61" t="str">
        <f>IF(GetColor('분석 결과'!F15,FALSE,-1)=13421772,'분석 결과'!V15,"")</f>
        <v>불검출</v>
      </c>
      <c r="G12" s="61" t="str">
        <f>IF(GetColor('분석 결과'!G15,FALSE,-1)=13421772,'분석 결과'!W15,"")</f>
        <v>불검출</v>
      </c>
      <c r="H12" s="61" t="str">
        <f>IF(GetColor('분석 결과'!H15,FALSE,-1)=13421772,'분석 결과'!X15,"")</f>
        <v>불검출</v>
      </c>
      <c r="I12" s="61" t="str">
        <f>IF(GetColor('분석 결과'!I15,FALSE,-1)=13421772,'분석 결과'!Y15,"")</f>
        <v>불검출</v>
      </c>
      <c r="J12" s="61" t="str">
        <f>IF(GetColor('분석 결과'!J15,FALSE,-1)=13421772,'분석 결과'!Z15,"")</f>
        <v>불검출</v>
      </c>
      <c r="K12" s="61" t="str">
        <f>IF(GetColor('분석 결과'!K15,FALSE,-1)=13421772,'분석 결과'!AA15,"")</f>
        <v>불검출</v>
      </c>
      <c r="L12" s="61" t="str">
        <f>IF(GetColor('분석 결과'!L15,FALSE,-1)=13421772,'분석 결과'!AB15,"")</f>
        <v>불검출</v>
      </c>
      <c r="M12" s="61" t="str">
        <f>IF(GetColor('분석 결과'!M15,FALSE,-1)=13421772,'분석 결과'!AC15,"")</f>
        <v>불검출</v>
      </c>
      <c r="N12" s="61" t="str">
        <f>IF(GetColor('분석 결과'!N15,FALSE,-1)=13421772,'분석 결과'!AD15,"")</f>
        <v>불검출</v>
      </c>
      <c r="O12" s="92">
        <f>IF(GetColor('분석 결과'!O15,FALSE,-1)=13421772,'분석 결과'!AE15,"")</f>
        <v>4.1000000000000002E-2</v>
      </c>
      <c r="P12" s="61" t="str">
        <f>IF(GetColor('분석 결과'!P15,FALSE,-1)=13421772,'분석 결과'!AF15,"")</f>
        <v>불검출</v>
      </c>
      <c r="Q12" s="92">
        <f>IF(GetColor('분석 결과'!Q15,FALSE,-1)=13421772,'분석 결과'!AG15,"")</f>
        <v>2.3999999999999998E-3</v>
      </c>
      <c r="R12" s="92">
        <f>IF(GetColor('분석 결과'!R15,FALSE,-1)=13421772,'분석 결과'!AH15,"")</f>
        <v>3.3800000000000002E-3</v>
      </c>
      <c r="S12" s="92">
        <f>IF(GetColor('분석 결과'!S15,FALSE,-1)=13421772,'분석 결과'!AI15,"")</f>
        <v>8.1200000000000005E-3</v>
      </c>
      <c r="T12" s="94">
        <f>IF(GetColor('분석 결과'!T15,FALSE,-1)=13421772,'분석 결과'!AJ15,"")</f>
        <v>6.9999999999999999E-4</v>
      </c>
      <c r="U12" s="1"/>
      <c r="V12" s="20"/>
      <c r="W12" s="20"/>
      <c r="X12" s="20"/>
      <c r="Y12" s="20"/>
      <c r="Z12" s="21"/>
      <c r="AA12" s="20"/>
      <c r="AB12" s="20"/>
      <c r="AC12" s="20"/>
      <c r="AD12" s="20"/>
      <c r="AE12" s="20"/>
      <c r="AF12" s="20"/>
      <c r="AG12" s="22"/>
      <c r="AH12" s="22"/>
      <c r="AI12" s="23"/>
    </row>
    <row r="13" spans="1:35" s="18" customFormat="1" x14ac:dyDescent="0.3">
      <c r="A13" s="19">
        <v>1</v>
      </c>
      <c r="B13" s="19" t="str">
        <f>'분석 결과'!B16</f>
        <v>4782300042-03</v>
      </c>
      <c r="C13" s="19" t="str">
        <f>'분석 결과'!C16</f>
        <v>물마루</v>
      </c>
      <c r="D13" s="53" t="str">
        <f>'분석 결과'!D16</f>
        <v>먹는샘물/먹는샘물제품수</v>
      </c>
      <c r="E13" s="53" t="str">
        <f>'분석 결과'!E16</f>
        <v>08-29</v>
      </c>
      <c r="F13" s="61" t="str">
        <f>IF(GetColor('분석 결과'!F16,FALSE,-1)=13421772,'분석 결과'!V16,"")</f>
        <v>불검출</v>
      </c>
      <c r="G13" s="61" t="str">
        <f>IF(GetColor('분석 결과'!G16,FALSE,-1)=13421772,'분석 결과'!W16,"")</f>
        <v>불검출</v>
      </c>
      <c r="H13" s="61" t="str">
        <f>IF(GetColor('분석 결과'!H16,FALSE,-1)=13421772,'분석 결과'!X16,"")</f>
        <v>불검출</v>
      </c>
      <c r="I13" s="61" t="str">
        <f>IF(GetColor('분석 결과'!I16,FALSE,-1)=13421772,'분석 결과'!Y16,"")</f>
        <v>불검출</v>
      </c>
      <c r="J13" s="61" t="str">
        <f>IF(GetColor('분석 결과'!J16,FALSE,-1)=13421772,'분석 결과'!Z16,"")</f>
        <v>불검출</v>
      </c>
      <c r="K13" s="61" t="str">
        <f>IF(GetColor('분석 결과'!K16,FALSE,-1)=13421772,'분석 결과'!AA16,"")</f>
        <v>불검출</v>
      </c>
      <c r="L13" s="61" t="str">
        <f>IF(GetColor('분석 결과'!L16,FALSE,-1)=13421772,'분석 결과'!AB16,"")</f>
        <v>불검출</v>
      </c>
      <c r="M13" s="61" t="str">
        <f>IF(GetColor('분석 결과'!M16,FALSE,-1)=13421772,'분석 결과'!AC16,"")</f>
        <v>불검출</v>
      </c>
      <c r="N13" s="61" t="str">
        <f>IF(GetColor('분석 결과'!N16,FALSE,-1)=13421772,'분석 결과'!AD16,"")</f>
        <v>불검출</v>
      </c>
      <c r="O13" s="61" t="str">
        <f>IF(GetColor('분석 결과'!O16,FALSE,-1)=13421772,'분석 결과'!AE16,"")</f>
        <v>불검출</v>
      </c>
      <c r="P13" s="61" t="str">
        <f>IF(GetColor('분석 결과'!P16,FALSE,-1)=13421772,'분석 결과'!AF16,"")</f>
        <v>불검출</v>
      </c>
      <c r="Q13" s="61" t="str">
        <f>IF(GetColor('분석 결과'!Q16,FALSE,-1)=13421772,'분석 결과'!AG16,"")</f>
        <v>불검출</v>
      </c>
      <c r="R13" s="93">
        <f>IF(GetColor('분석 결과'!R16,FALSE,-1)=13421772,'분석 결과'!AH16,"")</f>
        <v>0.57621</v>
      </c>
      <c r="S13" s="92">
        <f>IF(GetColor('분석 결과'!S16,FALSE,-1)=13421772,'분석 결과'!AI16,"")</f>
        <v>6.9999999999999999E-4</v>
      </c>
      <c r="T13" s="94">
        <f>IF(GetColor('분석 결과'!T16,FALSE,-1)=13421772,'분석 결과'!AJ16,"")</f>
        <v>2.5999999999999998E-4</v>
      </c>
      <c r="U13" s="1"/>
      <c r="V13" s="20"/>
      <c r="W13" s="20"/>
      <c r="X13" s="20"/>
      <c r="Y13" s="20"/>
      <c r="Z13" s="21"/>
      <c r="AA13" s="20"/>
      <c r="AB13" s="20"/>
      <c r="AC13" s="20"/>
      <c r="AD13" s="20"/>
      <c r="AE13" s="20"/>
      <c r="AF13" s="20"/>
      <c r="AG13" s="22"/>
      <c r="AH13" s="22"/>
      <c r="AI13" s="23"/>
    </row>
    <row r="14" spans="1:35" x14ac:dyDescent="0.3">
      <c r="A14" s="19">
        <v>1</v>
      </c>
      <c r="B14" s="19" t="str">
        <f>'분석 결과'!B17</f>
        <v>4782300042-04</v>
      </c>
      <c r="C14" s="19" t="str">
        <f>'분석 결과'!C17</f>
        <v>춘천 옥산가</v>
      </c>
      <c r="D14" s="53" t="str">
        <f>'분석 결과'!D17</f>
        <v>먹는샘물/먹는샘물제품수</v>
      </c>
      <c r="E14" s="53" t="str">
        <f>'분석 결과'!E17</f>
        <v>08-29</v>
      </c>
      <c r="F14" s="61" t="str">
        <f>IF(GetColor('분석 결과'!F17,FALSE,-1)=13421772,'분석 결과'!V17,"")</f>
        <v>불검출</v>
      </c>
      <c r="G14" s="61" t="str">
        <f>IF(GetColor('분석 결과'!G17,FALSE,-1)=13421772,'분석 결과'!W17,"")</f>
        <v>불검출</v>
      </c>
      <c r="H14" s="61" t="str">
        <f>IF(GetColor('분석 결과'!H17,FALSE,-1)=13421772,'분석 결과'!X17,"")</f>
        <v>불검출</v>
      </c>
      <c r="I14" s="61" t="str">
        <f>IF(GetColor('분석 결과'!I17,FALSE,-1)=13421772,'분석 결과'!Y17,"")</f>
        <v>불검출</v>
      </c>
      <c r="J14" s="61" t="str">
        <f>IF(GetColor('분석 결과'!J17,FALSE,-1)=13421772,'분석 결과'!Z17,"")</f>
        <v>불검출</v>
      </c>
      <c r="K14" s="61" t="str">
        <f>IF(GetColor('분석 결과'!K17,FALSE,-1)=13421772,'분석 결과'!AA17,"")</f>
        <v>불검출</v>
      </c>
      <c r="L14" s="61" t="str">
        <f>IF(GetColor('분석 결과'!L17,FALSE,-1)=13421772,'분석 결과'!AB17,"")</f>
        <v>불검출</v>
      </c>
      <c r="M14" s="61" t="str">
        <f>IF(GetColor('분석 결과'!M17,FALSE,-1)=13421772,'분석 결과'!AC17,"")</f>
        <v>불검출</v>
      </c>
      <c r="N14" s="61" t="str">
        <f>IF(GetColor('분석 결과'!N17,FALSE,-1)=13421772,'분석 결과'!AD17,"")</f>
        <v>불검출</v>
      </c>
      <c r="O14" s="61" t="str">
        <f>IF(GetColor('분석 결과'!O17,FALSE,-1)=13421772,'분석 결과'!AE17,"")</f>
        <v>불검출</v>
      </c>
      <c r="P14" s="61" t="str">
        <f>IF(GetColor('분석 결과'!P17,FALSE,-1)=13421772,'분석 결과'!AF17,"")</f>
        <v>불검출</v>
      </c>
      <c r="Q14" s="61" t="str">
        <f>IF(GetColor('분석 결과'!Q17,FALSE,-1)=13421772,'분석 결과'!AG17,"")</f>
        <v>불검출</v>
      </c>
      <c r="R14" s="92">
        <f>IF(GetColor('분석 결과'!R17,FALSE,-1)=13421772,'분석 결과'!AH17,"")</f>
        <v>8.9899999999999997E-3</v>
      </c>
      <c r="S14" s="61" t="str">
        <f>IF(GetColor('분석 결과'!S17,FALSE,-1)=13421772,'분석 결과'!AI17,"")</f>
        <v>불검출</v>
      </c>
      <c r="T14" s="94">
        <f>IF(GetColor('분석 결과'!T17,FALSE,-1)=13421772,'분석 결과'!AJ17,"")</f>
        <v>4.2999999999999999E-4</v>
      </c>
    </row>
    <row r="15" spans="1:35" x14ac:dyDescent="0.3">
      <c r="A15" s="19">
        <v>1</v>
      </c>
      <c r="B15" s="19" t="str">
        <f>'분석 결과'!B18</f>
        <v>4782300042-05</v>
      </c>
      <c r="C15" s="19" t="str">
        <f>'분석 결과'!C18</f>
        <v>에이웰88 알카리수</v>
      </c>
      <c r="D15" s="53" t="str">
        <f>'분석 결과'!D18</f>
        <v>먹는샘물/먹는샘물제품수</v>
      </c>
      <c r="E15" s="53" t="str">
        <f>'분석 결과'!E18</f>
        <v>08-29</v>
      </c>
      <c r="F15" s="61" t="str">
        <f>IF(GetColor('분석 결과'!F18,FALSE,-1)=13421772,'분석 결과'!V18,"")</f>
        <v>불검출</v>
      </c>
      <c r="G15" s="61" t="str">
        <f>IF(GetColor('분석 결과'!G18,FALSE,-1)=13421772,'분석 결과'!W18,"")</f>
        <v>불검출</v>
      </c>
      <c r="H15" s="61" t="str">
        <f>IF(GetColor('분석 결과'!H18,FALSE,-1)=13421772,'분석 결과'!X18,"")</f>
        <v>불검출</v>
      </c>
      <c r="I15" s="61" t="str">
        <f>IF(GetColor('분석 결과'!I18,FALSE,-1)=13421772,'분석 결과'!Y18,"")</f>
        <v>불검출</v>
      </c>
      <c r="J15" s="61" t="str">
        <f>IF(GetColor('분석 결과'!J18,FALSE,-1)=13421772,'분석 결과'!Z18,"")</f>
        <v>불검출</v>
      </c>
      <c r="K15" s="61" t="str">
        <f>IF(GetColor('분석 결과'!K18,FALSE,-1)=13421772,'분석 결과'!AA18,"")</f>
        <v>불검출</v>
      </c>
      <c r="L15" s="61" t="str">
        <f>IF(GetColor('분석 결과'!L18,FALSE,-1)=13421772,'분석 결과'!AB18,"")</f>
        <v>불검출</v>
      </c>
      <c r="M15" s="61" t="str">
        <f>IF(GetColor('분석 결과'!M18,FALSE,-1)=13421772,'분석 결과'!AC18,"")</f>
        <v>불검출</v>
      </c>
      <c r="N15" s="61" t="str">
        <f>IF(GetColor('분석 결과'!N18,FALSE,-1)=13421772,'분석 결과'!AD18,"")</f>
        <v>불검출</v>
      </c>
      <c r="O15" s="61" t="str">
        <f>IF(GetColor('분석 결과'!O18,FALSE,-1)=13421772,'분석 결과'!AE18,"")</f>
        <v>불검출</v>
      </c>
      <c r="P15" s="61" t="str">
        <f>IF(GetColor('분석 결과'!P18,FALSE,-1)=13421772,'분석 결과'!AF18,"")</f>
        <v>불검출</v>
      </c>
      <c r="Q15" s="61" t="str">
        <f>IF(GetColor('분석 결과'!Q18,FALSE,-1)=13421772,'분석 결과'!AG18,"")</f>
        <v>불검출</v>
      </c>
      <c r="R15" s="61" t="str">
        <f>IF(GetColor('분석 결과'!R18,FALSE,-1)=13421772,'분석 결과'!AH18,"")</f>
        <v>불검출</v>
      </c>
      <c r="S15" s="61" t="str">
        <f>IF(GetColor('분석 결과'!S18,FALSE,-1)=13421772,'분석 결과'!AI18,"")</f>
        <v>불검출</v>
      </c>
      <c r="T15" s="94">
        <f>IF(GetColor('분석 결과'!T18,FALSE,-1)=13421772,'분석 결과'!AJ18,"")</f>
        <v>8.7000000000000001E-4</v>
      </c>
    </row>
    <row r="16" spans="1:35" x14ac:dyDescent="0.3">
      <c r="A16" s="19">
        <v>1</v>
      </c>
      <c r="B16" s="19" t="str">
        <f>'분석 결과'!B19</f>
        <v>4782300042-06</v>
      </c>
      <c r="C16" s="19" t="str">
        <f>'분석 결과'!C19</f>
        <v>리본 워터</v>
      </c>
      <c r="D16" s="53" t="str">
        <f>'분석 결과'!D19</f>
        <v>먹는샘물/먹는샘물제품수</v>
      </c>
      <c r="E16" s="53" t="str">
        <f>'분석 결과'!E19</f>
        <v>08-29</v>
      </c>
      <c r="F16" s="61" t="str">
        <f>IF(GetColor('분석 결과'!F19,FALSE,-1)=13421772,'분석 결과'!V19,"")</f>
        <v>불검출</v>
      </c>
      <c r="G16" s="61" t="str">
        <f>IF(GetColor('분석 결과'!G19,FALSE,-1)=13421772,'분석 결과'!W19,"")</f>
        <v>불검출</v>
      </c>
      <c r="H16" s="61" t="str">
        <f>IF(GetColor('분석 결과'!H19,FALSE,-1)=13421772,'분석 결과'!X19,"")</f>
        <v>불검출</v>
      </c>
      <c r="I16" s="61" t="str">
        <f>IF(GetColor('분석 결과'!I19,FALSE,-1)=13421772,'분석 결과'!Y19,"")</f>
        <v>불검출</v>
      </c>
      <c r="J16" s="61" t="str">
        <f>IF(GetColor('분석 결과'!J19,FALSE,-1)=13421772,'분석 결과'!Z19,"")</f>
        <v>불검출</v>
      </c>
      <c r="K16" s="61" t="str">
        <f>IF(GetColor('분석 결과'!K19,FALSE,-1)=13421772,'분석 결과'!AA19,"")</f>
        <v>불검출</v>
      </c>
      <c r="L16" s="61" t="str">
        <f>IF(GetColor('분석 결과'!L19,FALSE,-1)=13421772,'분석 결과'!AB19,"")</f>
        <v>불검출</v>
      </c>
      <c r="M16" s="61" t="str">
        <f>IF(GetColor('분석 결과'!M19,FALSE,-1)=13421772,'분석 결과'!AC19,"")</f>
        <v>불검출</v>
      </c>
      <c r="N16" s="61" t="str">
        <f>IF(GetColor('분석 결과'!N19,FALSE,-1)=13421772,'분석 결과'!AD19,"")</f>
        <v>불검출</v>
      </c>
      <c r="O16" s="61" t="str">
        <f>IF(GetColor('분석 결과'!O19,FALSE,-1)=13421772,'분석 결과'!AE19,"")</f>
        <v>불검출</v>
      </c>
      <c r="P16" s="61" t="str">
        <f>IF(GetColor('분석 결과'!P19,FALSE,-1)=13421772,'분석 결과'!AF19,"")</f>
        <v>불검출</v>
      </c>
      <c r="Q16" s="61" t="str">
        <f>IF(GetColor('분석 결과'!Q19,FALSE,-1)=13421772,'분석 결과'!AG19,"")</f>
        <v>불검출</v>
      </c>
      <c r="R16" s="61" t="str">
        <f>IF(GetColor('분석 결과'!R19,FALSE,-1)=13421772,'분석 결과'!AH19,"")</f>
        <v>불검출</v>
      </c>
      <c r="S16" s="61" t="str">
        <f>IF(GetColor('분석 결과'!S19,FALSE,-1)=13421772,'분석 결과'!AI19,"")</f>
        <v>불검출</v>
      </c>
      <c r="T16" s="94">
        <f>IF(GetColor('분석 결과'!T19,FALSE,-1)=13421772,'분석 결과'!AJ19,"")</f>
        <v>1.1100000000000001E-3</v>
      </c>
    </row>
    <row r="17" spans="1:20" x14ac:dyDescent="0.3">
      <c r="A17" s="19">
        <v>1</v>
      </c>
      <c r="B17" s="19" t="str">
        <f>'분석 결과'!B20</f>
        <v>4782300042-07</v>
      </c>
      <c r="C17" s="19" t="str">
        <f>'분석 결과'!C20</f>
        <v>면역수</v>
      </c>
      <c r="D17" s="53" t="str">
        <f>'분석 결과'!D20</f>
        <v>먹는샘물/먹는샘물제품수</v>
      </c>
      <c r="E17" s="53" t="str">
        <f>'분석 결과'!E20</f>
        <v>08-29</v>
      </c>
      <c r="F17" s="61" t="str">
        <f>IF(GetColor('분석 결과'!F20,FALSE,-1)=13421772,'분석 결과'!V20,"")</f>
        <v>불검출</v>
      </c>
      <c r="G17" s="61" t="str">
        <f>IF(GetColor('분석 결과'!G20,FALSE,-1)=13421772,'분석 결과'!W20,"")</f>
        <v>불검출</v>
      </c>
      <c r="H17" s="61" t="str">
        <f>IF(GetColor('분석 결과'!H20,FALSE,-1)=13421772,'분석 결과'!X20,"")</f>
        <v>불검출</v>
      </c>
      <c r="I17" s="61" t="str">
        <f>IF(GetColor('분석 결과'!I20,FALSE,-1)=13421772,'분석 결과'!Y20,"")</f>
        <v>불검출</v>
      </c>
      <c r="J17" s="61" t="str">
        <f>IF(GetColor('분석 결과'!J20,FALSE,-1)=13421772,'분석 결과'!Z20,"")</f>
        <v>불검출</v>
      </c>
      <c r="K17" s="92">
        <f>IF(GetColor('분석 결과'!K20,FALSE,-1)=13421772,'분석 결과'!AA20,"")</f>
        <v>0.13600000000000001</v>
      </c>
      <c r="L17" s="61" t="str">
        <f>IF(GetColor('분석 결과'!L20,FALSE,-1)=13421772,'분석 결과'!AB20,"")</f>
        <v>불검출</v>
      </c>
      <c r="M17" s="92">
        <f>IF(GetColor('분석 결과'!M20,FALSE,-1)=13421772,'분석 결과'!AC20,"")</f>
        <v>1.0800000000000001E-2</v>
      </c>
      <c r="N17" s="61" t="str">
        <f>IF(GetColor('분석 결과'!N20,FALSE,-1)=13421772,'분석 결과'!AD20,"")</f>
        <v>불검출</v>
      </c>
      <c r="O17" s="61" t="str">
        <f>IF(GetColor('분석 결과'!O20,FALSE,-1)=13421772,'분석 결과'!AE20,"")</f>
        <v>불검출</v>
      </c>
      <c r="P17" s="92">
        <f>IF(GetColor('분석 결과'!P20,FALSE,-1)=13421772,'분석 결과'!AF20,"")</f>
        <v>0.626</v>
      </c>
      <c r="Q17" s="93">
        <f>IF(GetColor('분석 결과'!Q20,FALSE,-1)=13421772,'분석 결과'!AG20,"")</f>
        <v>8.4376999999999995</v>
      </c>
      <c r="R17" s="92">
        <f>IF(GetColor('분석 결과'!R20,FALSE,-1)=13421772,'분석 결과'!AH20,"")</f>
        <v>1.4999999999999999E-4</v>
      </c>
      <c r="S17" s="61" t="str">
        <f>IF(GetColor('분석 결과'!S20,FALSE,-1)=13421772,'분석 결과'!AI20,"")</f>
        <v>불검출</v>
      </c>
      <c r="T17" s="94">
        <f>IF(GetColor('분석 결과'!T20,FALSE,-1)=13421772,'분석 결과'!AJ20,"")</f>
        <v>1.16E-3</v>
      </c>
    </row>
    <row r="18" spans="1:20" x14ac:dyDescent="0.3">
      <c r="A18" s="19">
        <v>1</v>
      </c>
      <c r="B18" s="19" t="str">
        <f>'분석 결과'!B21</f>
        <v>4782300042-08</v>
      </c>
      <c r="C18" s="19" t="str">
        <f>'분석 결과'!C21</f>
        <v>에이수 프리미엄 알칼리수</v>
      </c>
      <c r="D18" s="53" t="str">
        <f>'분석 결과'!D21</f>
        <v>먹는샘물/먹는샘물제품수</v>
      </c>
      <c r="E18" s="53" t="str">
        <f>'분석 결과'!E21</f>
        <v>08-29</v>
      </c>
      <c r="F18" s="61" t="str">
        <f>IF(GetColor('분석 결과'!F21,FALSE,-1)=13421772,'분석 결과'!V21,"")</f>
        <v>불검출</v>
      </c>
      <c r="G18" s="61" t="str">
        <f>IF(GetColor('분석 결과'!G21,FALSE,-1)=13421772,'분석 결과'!W21,"")</f>
        <v>불검출</v>
      </c>
      <c r="H18" s="61" t="str">
        <f>IF(GetColor('분석 결과'!H21,FALSE,-1)=13421772,'분석 결과'!X21,"")</f>
        <v>불검출</v>
      </c>
      <c r="I18" s="61" t="str">
        <f>IF(GetColor('분석 결과'!I21,FALSE,-1)=13421772,'분석 결과'!Y21,"")</f>
        <v>불검출</v>
      </c>
      <c r="J18" s="61" t="str">
        <f>IF(GetColor('분석 결과'!J21,FALSE,-1)=13421772,'분석 결과'!Z21,"")</f>
        <v>불검출</v>
      </c>
      <c r="K18" s="61" t="str">
        <f>IF(GetColor('분석 결과'!K21,FALSE,-1)=13421772,'분석 결과'!AA21,"")</f>
        <v>불검출</v>
      </c>
      <c r="L18" s="61" t="str">
        <f>IF(GetColor('분석 결과'!L21,FALSE,-1)=13421772,'분석 결과'!AB21,"")</f>
        <v>불검출</v>
      </c>
      <c r="M18" s="61" t="str">
        <f>IF(GetColor('분석 결과'!M21,FALSE,-1)=13421772,'분석 결과'!AC21,"")</f>
        <v>불검출</v>
      </c>
      <c r="N18" s="61" t="str">
        <f>IF(GetColor('분석 결과'!N21,FALSE,-1)=13421772,'분석 결과'!AD21,"")</f>
        <v>불검출</v>
      </c>
      <c r="O18" s="61" t="str">
        <f>IF(GetColor('분석 결과'!O21,FALSE,-1)=13421772,'분석 결과'!AE21,"")</f>
        <v>불검출</v>
      </c>
      <c r="P18" s="61" t="str">
        <f>IF(GetColor('분석 결과'!P21,FALSE,-1)=13421772,'분석 결과'!AF21,"")</f>
        <v>불검출</v>
      </c>
      <c r="Q18" s="61" t="str">
        <f>IF(GetColor('분석 결과'!Q21,FALSE,-1)=13421772,'분석 결과'!AG21,"")</f>
        <v>불검출</v>
      </c>
      <c r="R18" s="61" t="str">
        <f>IF(GetColor('분석 결과'!R21,FALSE,-1)=13421772,'분석 결과'!AH21,"")</f>
        <v>불검출</v>
      </c>
      <c r="S18" s="61" t="str">
        <f>IF(GetColor('분석 결과'!S21,FALSE,-1)=13421772,'분석 결과'!AI21,"")</f>
        <v>불검출</v>
      </c>
      <c r="T18" s="94">
        <f>IF(GetColor('분석 결과'!T21,FALSE,-1)=13421772,'분석 결과'!AJ21,"")</f>
        <v>6.2E-4</v>
      </c>
    </row>
    <row r="19" spans="1:20" x14ac:dyDescent="0.3">
      <c r="A19" s="19">
        <v>1</v>
      </c>
      <c r="B19" s="19" t="str">
        <f>'분석 결과'!B22</f>
        <v>4782300042-09</v>
      </c>
      <c r="C19" s="19" t="str">
        <f>'분석 결과'!C22</f>
        <v>유니온 천년 알칼리수</v>
      </c>
      <c r="D19" s="53" t="str">
        <f>'분석 결과'!D22</f>
        <v>먹는샘물/먹는샘물제품수</v>
      </c>
      <c r="E19" s="53" t="str">
        <f>'분석 결과'!E22</f>
        <v>08-29</v>
      </c>
      <c r="F19" s="61" t="str">
        <f>IF(GetColor('분석 결과'!F22,FALSE,-1)=13421772,'분석 결과'!V22,"")</f>
        <v>불검출</v>
      </c>
      <c r="G19" s="61" t="str">
        <f>IF(GetColor('분석 결과'!G22,FALSE,-1)=13421772,'분석 결과'!W22,"")</f>
        <v>불검출</v>
      </c>
      <c r="H19" s="61" t="str">
        <f>IF(GetColor('분석 결과'!H22,FALSE,-1)=13421772,'분석 결과'!X22,"")</f>
        <v>불검출</v>
      </c>
      <c r="I19" s="61" t="str">
        <f>IF(GetColor('분석 결과'!I22,FALSE,-1)=13421772,'분석 결과'!Y22,"")</f>
        <v>불검출</v>
      </c>
      <c r="J19" s="61" t="str">
        <f>IF(GetColor('분석 결과'!J22,FALSE,-1)=13421772,'분석 결과'!Z22,"")</f>
        <v>불검출</v>
      </c>
      <c r="K19" s="61" t="str">
        <f>IF(GetColor('분석 결과'!K22,FALSE,-1)=13421772,'분석 결과'!AA22,"")</f>
        <v>불검출</v>
      </c>
      <c r="L19" s="61" t="str">
        <f>IF(GetColor('분석 결과'!L22,FALSE,-1)=13421772,'분석 결과'!AB22,"")</f>
        <v>불검출</v>
      </c>
      <c r="M19" s="61" t="str">
        <f>IF(GetColor('분석 결과'!M22,FALSE,-1)=13421772,'분석 결과'!AC22,"")</f>
        <v>불검출</v>
      </c>
      <c r="N19" s="61" t="str">
        <f>IF(GetColor('분석 결과'!N22,FALSE,-1)=13421772,'분석 결과'!AD22,"")</f>
        <v>불검출</v>
      </c>
      <c r="O19" s="61" t="str">
        <f>IF(GetColor('분석 결과'!O22,FALSE,-1)=13421772,'분석 결과'!AE22,"")</f>
        <v>불검출</v>
      </c>
      <c r="P19" s="61" t="str">
        <f>IF(GetColor('분석 결과'!P22,FALSE,-1)=13421772,'분석 결과'!AF22,"")</f>
        <v>불검출</v>
      </c>
      <c r="Q19" s="61" t="str">
        <f>IF(GetColor('분석 결과'!Q22,FALSE,-1)=13421772,'분석 결과'!AG22,"")</f>
        <v>불검출</v>
      </c>
      <c r="R19" s="92">
        <f>IF(GetColor('분석 결과'!R22,FALSE,-1)=13421772,'분석 결과'!AH22,"")</f>
        <v>1.2999999999999999E-4</v>
      </c>
      <c r="S19" s="61" t="str">
        <f>IF(GetColor('분석 결과'!S22,FALSE,-1)=13421772,'분석 결과'!AI22,"")</f>
        <v>불검출</v>
      </c>
      <c r="T19" s="94">
        <f>IF(GetColor('분석 결과'!T22,FALSE,-1)=13421772,'분석 결과'!AJ22,"")</f>
        <v>6.3000000000000003E-4</v>
      </c>
    </row>
    <row r="20" spans="1:20" x14ac:dyDescent="0.3">
      <c r="A20" s="19">
        <v>1</v>
      </c>
      <c r="B20" s="19" t="str">
        <f>'분석 결과'!B23</f>
        <v>4782300042-10</v>
      </c>
      <c r="C20" s="19" t="str">
        <f>'분석 결과'!C23</f>
        <v>오투유</v>
      </c>
      <c r="D20" s="53" t="str">
        <f>'분석 결과'!D23</f>
        <v>먹는샘물/먹는샘물제품수</v>
      </c>
      <c r="E20" s="53" t="str">
        <f>'분석 결과'!E23</f>
        <v>08-29</v>
      </c>
      <c r="F20" s="61" t="str">
        <f>IF(GetColor('분석 결과'!F23,FALSE,-1)=13421772,'분석 결과'!V23,"")</f>
        <v>불검출</v>
      </c>
      <c r="G20" s="61" t="str">
        <f>IF(GetColor('분석 결과'!G23,FALSE,-1)=13421772,'분석 결과'!W23,"")</f>
        <v>불검출</v>
      </c>
      <c r="H20" s="61" t="str">
        <f>IF(GetColor('분석 결과'!H23,FALSE,-1)=13421772,'분석 결과'!X23,"")</f>
        <v>불검출</v>
      </c>
      <c r="I20" s="61" t="str">
        <f>IF(GetColor('분석 결과'!I23,FALSE,-1)=13421772,'분석 결과'!Y23,"")</f>
        <v>불검출</v>
      </c>
      <c r="J20" s="61" t="str">
        <f>IF(GetColor('분석 결과'!J23,FALSE,-1)=13421772,'분석 결과'!Z23,"")</f>
        <v>불검출</v>
      </c>
      <c r="K20" s="61" t="str">
        <f>IF(GetColor('분석 결과'!K23,FALSE,-1)=13421772,'분석 결과'!AA23,"")</f>
        <v>불검출</v>
      </c>
      <c r="L20" s="61" t="str">
        <f>IF(GetColor('분석 결과'!L23,FALSE,-1)=13421772,'분석 결과'!AB23,"")</f>
        <v>불검출</v>
      </c>
      <c r="M20" s="61" t="str">
        <f>IF(GetColor('분석 결과'!M23,FALSE,-1)=13421772,'분석 결과'!AC23,"")</f>
        <v>불검출</v>
      </c>
      <c r="N20" s="61" t="str">
        <f>IF(GetColor('분석 결과'!N23,FALSE,-1)=13421772,'분석 결과'!AD23,"")</f>
        <v>불검출</v>
      </c>
      <c r="O20" s="92">
        <f>IF(GetColor('분석 결과'!O23,FALSE,-1)=13421772,'분석 결과'!AE23,"")</f>
        <v>7.5999999999999998E-2</v>
      </c>
      <c r="P20" s="61" t="str">
        <f>IF(GetColor('분석 결과'!P23,FALSE,-1)=13421772,'분석 결과'!AF23,"")</f>
        <v>불검출</v>
      </c>
      <c r="Q20" s="92">
        <f>IF(GetColor('분석 결과'!Q23,FALSE,-1)=13421772,'분석 결과'!AG23,"")</f>
        <v>2.58E-2</v>
      </c>
      <c r="R20" s="92">
        <f>IF(GetColor('분석 결과'!R23,FALSE,-1)=13421772,'분석 결과'!AH23,"")</f>
        <v>2.32E-3</v>
      </c>
      <c r="S20" s="92">
        <f>IF(GetColor('분석 결과'!S23,FALSE,-1)=13421772,'분석 결과'!AI23,"")</f>
        <v>1.3050000000000001E-2</v>
      </c>
      <c r="T20" s="94">
        <f>IF(GetColor('분석 결과'!T23,FALSE,-1)=13421772,'분석 결과'!AJ23,"")</f>
        <v>1.2899999999999999E-3</v>
      </c>
    </row>
    <row r="21" spans="1:20" x14ac:dyDescent="0.3">
      <c r="A21" s="19">
        <v>1</v>
      </c>
      <c r="B21" s="19" t="str">
        <f>'분석 결과'!B24</f>
        <v>4782300042-11</v>
      </c>
      <c r="C21" s="19" t="str">
        <f>'분석 결과'!C24</f>
        <v>산소통통</v>
      </c>
      <c r="D21" s="53" t="str">
        <f>'분석 결과'!D24</f>
        <v>먹는샘물/먹는샘물제품수</v>
      </c>
      <c r="E21" s="53" t="str">
        <f>'분석 결과'!E24</f>
        <v>08-29</v>
      </c>
      <c r="F21" s="61" t="str">
        <f>IF(GetColor('분석 결과'!F24,FALSE,-1)=13421772,'분석 결과'!V24,"")</f>
        <v>불검출</v>
      </c>
      <c r="G21" s="61" t="str">
        <f>IF(GetColor('분석 결과'!G24,FALSE,-1)=13421772,'분석 결과'!W24,"")</f>
        <v>불검출</v>
      </c>
      <c r="H21" s="61" t="str">
        <f>IF(GetColor('분석 결과'!H24,FALSE,-1)=13421772,'분석 결과'!X24,"")</f>
        <v>불검출</v>
      </c>
      <c r="I21" s="61" t="str">
        <f>IF(GetColor('분석 결과'!I24,FALSE,-1)=13421772,'분석 결과'!Y24,"")</f>
        <v>불검출</v>
      </c>
      <c r="J21" s="61" t="str">
        <f>IF(GetColor('분석 결과'!J24,FALSE,-1)=13421772,'분석 결과'!Z24,"")</f>
        <v>불검출</v>
      </c>
      <c r="K21" s="61" t="str">
        <f>IF(GetColor('분석 결과'!K24,FALSE,-1)=13421772,'분석 결과'!AA24,"")</f>
        <v>불검출</v>
      </c>
      <c r="L21" s="92">
        <f>IF(GetColor('분석 결과'!L24,FALSE,-1)=13421772,'분석 결과'!AB24,"")</f>
        <v>3.4500000000000003E-2</v>
      </c>
      <c r="M21" s="61" t="str">
        <f>IF(GetColor('분석 결과'!M24,FALSE,-1)=13421772,'분석 결과'!AC24,"")</f>
        <v>불검출</v>
      </c>
      <c r="N21" s="61" t="str">
        <f>IF(GetColor('분석 결과'!N24,FALSE,-1)=13421772,'분석 결과'!AD24,"")</f>
        <v>불검출</v>
      </c>
      <c r="O21" s="92">
        <f>IF(GetColor('분석 결과'!O24,FALSE,-1)=13421772,'분석 결과'!AE24,"")</f>
        <v>7.5999999999999998E-2</v>
      </c>
      <c r="P21" s="61" t="str">
        <f>IF(GetColor('분석 결과'!P24,FALSE,-1)=13421772,'분석 결과'!AF24,"")</f>
        <v>불검출</v>
      </c>
      <c r="Q21" s="92">
        <f>IF(GetColor('분석 결과'!Q24,FALSE,-1)=13421772,'분석 결과'!AG24,"")</f>
        <v>1.09E-2</v>
      </c>
      <c r="R21" s="92">
        <f>IF(GetColor('분석 결과'!R24,FALSE,-1)=13421772,'분석 결과'!AH24,"")</f>
        <v>2.3900000000000002E-3</v>
      </c>
      <c r="S21" s="92">
        <f>IF(GetColor('분석 결과'!S24,FALSE,-1)=13421772,'분석 결과'!AI24,"")</f>
        <v>1.307E-2</v>
      </c>
      <c r="T21" s="94">
        <f>IF(GetColor('분석 결과'!T24,FALSE,-1)=13421772,'분석 결과'!AJ24,"")</f>
        <v>1.5200000000000001E-3</v>
      </c>
    </row>
    <row r="22" spans="1:20" x14ac:dyDescent="0.3">
      <c r="A22" s="19">
        <v>1</v>
      </c>
      <c r="B22" s="19" t="str">
        <f>'분석 결과'!B25</f>
        <v>4782300042-12</v>
      </c>
      <c r="C22" s="19" t="str">
        <f>'분석 결과'!C25</f>
        <v>제주 용암수</v>
      </c>
      <c r="D22" s="53" t="str">
        <f>'분석 결과'!D25</f>
        <v>먹는샘물/먹는샘물제품수</v>
      </c>
      <c r="E22" s="53" t="str">
        <f>'분석 결과'!E25</f>
        <v>08-29</v>
      </c>
      <c r="F22" s="61" t="str">
        <f>IF(GetColor('분석 결과'!F25,FALSE,-1)=13421772,'분석 결과'!V25,"")</f>
        <v>불검출</v>
      </c>
      <c r="G22" s="61" t="str">
        <f>IF(GetColor('분석 결과'!G25,FALSE,-1)=13421772,'분석 결과'!W25,"")</f>
        <v>불검출</v>
      </c>
      <c r="H22" s="61" t="str">
        <f>IF(GetColor('분석 결과'!H25,FALSE,-1)=13421772,'분석 결과'!X25,"")</f>
        <v>불검출</v>
      </c>
      <c r="I22" s="61" t="str">
        <f>IF(GetColor('분석 결과'!I25,FALSE,-1)=13421772,'분석 결과'!Y25,"")</f>
        <v>불검출</v>
      </c>
      <c r="J22" s="61" t="str">
        <f>IF(GetColor('분석 결과'!J25,FALSE,-1)=13421772,'분석 결과'!Z25,"")</f>
        <v>불검출</v>
      </c>
      <c r="K22" s="61" t="str">
        <f>IF(GetColor('분석 결과'!K25,FALSE,-1)=13421772,'분석 결과'!AA25,"")</f>
        <v>불검출</v>
      </c>
      <c r="L22" s="61" t="str">
        <f>IF(GetColor('분석 결과'!L25,FALSE,-1)=13421772,'분석 결과'!AB25,"")</f>
        <v>불검출</v>
      </c>
      <c r="M22" s="61" t="str">
        <f>IF(GetColor('분석 결과'!M25,FALSE,-1)=13421772,'분석 결과'!AC25,"")</f>
        <v>불검출</v>
      </c>
      <c r="N22" s="61" t="str">
        <f>IF(GetColor('분석 결과'!N25,FALSE,-1)=13421772,'분석 결과'!AD25,"")</f>
        <v>불검출</v>
      </c>
      <c r="O22" s="61" t="str">
        <f>IF(GetColor('분석 결과'!O25,FALSE,-1)=13421772,'분석 결과'!AE25,"")</f>
        <v>불검출</v>
      </c>
      <c r="P22" s="92">
        <f>IF(GetColor('분석 결과'!P25,FALSE,-1)=13421772,'분석 결과'!AF25,"")</f>
        <v>0.72699999999999998</v>
      </c>
      <c r="Q22" s="61" t="str">
        <f>IF(GetColor('분석 결과'!Q25,FALSE,-1)=13421772,'분석 결과'!AG25,"")</f>
        <v>불검출</v>
      </c>
      <c r="R22" s="61" t="str">
        <f>IF(GetColor('분석 결과'!R25,FALSE,-1)=13421772,'분석 결과'!AH25,"")</f>
        <v>불검출</v>
      </c>
      <c r="S22" s="61" t="str">
        <f>IF(GetColor('분석 결과'!S25,FALSE,-1)=13421772,'분석 결과'!AI25,"")</f>
        <v>불검출</v>
      </c>
      <c r="T22" s="94">
        <f>IF(GetColor('분석 결과'!T25,FALSE,-1)=13421772,'분석 결과'!AJ25,"")</f>
        <v>9.1E-4</v>
      </c>
    </row>
    <row r="23" spans="1:20" x14ac:dyDescent="0.3">
      <c r="A23" s="19">
        <v>1</v>
      </c>
      <c r="B23" s="19" t="str">
        <f>'분석 결과'!B26</f>
        <v>4782300042-13</v>
      </c>
      <c r="C23" s="19" t="str">
        <f>'분석 결과'!C26</f>
        <v>수피아 17배 산소수</v>
      </c>
      <c r="D23" s="53" t="str">
        <f>'분석 결과'!D26</f>
        <v>먹는샘물/먹는샘물제품수</v>
      </c>
      <c r="E23" s="53" t="str">
        <f>'분석 결과'!E26</f>
        <v>08-29</v>
      </c>
      <c r="F23" s="61" t="str">
        <f>IF(GetColor('분석 결과'!F26,FALSE,-1)=13421772,'분석 결과'!V26,"")</f>
        <v>불검출</v>
      </c>
      <c r="G23" s="61" t="str">
        <f>IF(GetColor('분석 결과'!G26,FALSE,-1)=13421772,'분석 결과'!W26,"")</f>
        <v>불검출</v>
      </c>
      <c r="H23" s="61" t="str">
        <f>IF(GetColor('분석 결과'!H26,FALSE,-1)=13421772,'분석 결과'!X26,"")</f>
        <v>불검출</v>
      </c>
      <c r="I23" s="61" t="str">
        <f>IF(GetColor('분석 결과'!I26,FALSE,-1)=13421772,'분석 결과'!Y26,"")</f>
        <v>불검출</v>
      </c>
      <c r="J23" s="61" t="str">
        <f>IF(GetColor('분석 결과'!J26,FALSE,-1)=13421772,'분석 결과'!Z26,"")</f>
        <v>불검출</v>
      </c>
      <c r="K23" s="61" t="str">
        <f>IF(GetColor('분석 결과'!K26,FALSE,-1)=13421772,'분석 결과'!AA26,"")</f>
        <v>불검출</v>
      </c>
      <c r="L23" s="61" t="str">
        <f>IF(GetColor('분석 결과'!L26,FALSE,-1)=13421772,'분석 결과'!AB26,"")</f>
        <v>불검출</v>
      </c>
      <c r="M23" s="92">
        <f>IF(GetColor('분석 결과'!M26,FALSE,-1)=13421772,'분석 결과'!AC26,"")</f>
        <v>4.1999999999999997E-3</v>
      </c>
      <c r="N23" s="61" t="str">
        <f>IF(GetColor('분석 결과'!N26,FALSE,-1)=13421772,'분석 결과'!AD26,"")</f>
        <v>불검출</v>
      </c>
      <c r="O23" s="61" t="str">
        <f>IF(GetColor('분석 결과'!O26,FALSE,-1)=13421772,'분석 결과'!AE26,"")</f>
        <v>불검출</v>
      </c>
      <c r="P23" s="61" t="str">
        <f>IF(GetColor('분석 결과'!P26,FALSE,-1)=13421772,'분석 결과'!AF26,"")</f>
        <v>불검출</v>
      </c>
      <c r="Q23" s="92">
        <f>IF(GetColor('분석 결과'!Q26,FALSE,-1)=13421772,'분석 결과'!AG26,"")</f>
        <v>1.0200000000000001E-2</v>
      </c>
      <c r="R23" s="61" t="str">
        <f>IF(GetColor('분석 결과'!R26,FALSE,-1)=13421772,'분석 결과'!AH26,"")</f>
        <v>불검출</v>
      </c>
      <c r="S23" s="61" t="str">
        <f>IF(GetColor('분석 결과'!S26,FALSE,-1)=13421772,'분석 결과'!AI26,"")</f>
        <v>불검출</v>
      </c>
      <c r="T23" s="94">
        <f>IF(GetColor('분석 결과'!T26,FALSE,-1)=13421772,'분석 결과'!AJ26,"")</f>
        <v>4.0999999999999999E-4</v>
      </c>
    </row>
    <row r="24" spans="1:20" x14ac:dyDescent="0.3">
      <c r="A24" s="19">
        <v>1</v>
      </c>
      <c r="B24" s="19" t="str">
        <f>'분석 결과'!B27</f>
        <v>4782300042-14</v>
      </c>
      <c r="C24" s="19" t="str">
        <f>'분석 결과'!C27</f>
        <v>산소랑</v>
      </c>
      <c r="D24" s="53" t="str">
        <f>'분석 결과'!D27</f>
        <v>먹는샘물/먹는샘물제품수</v>
      </c>
      <c r="E24" s="53" t="str">
        <f>'분석 결과'!E27</f>
        <v>08-29</v>
      </c>
      <c r="F24" s="61" t="str">
        <f>IF(GetColor('분석 결과'!F27,FALSE,-1)=13421772,'분석 결과'!V27,"")</f>
        <v>불검출</v>
      </c>
      <c r="G24" s="61" t="str">
        <f>IF(GetColor('분석 결과'!G27,FALSE,-1)=13421772,'분석 결과'!W27,"")</f>
        <v>불검출</v>
      </c>
      <c r="H24" s="61" t="str">
        <f>IF(GetColor('분석 결과'!H27,FALSE,-1)=13421772,'분석 결과'!X27,"")</f>
        <v>불검출</v>
      </c>
      <c r="I24" s="61" t="str">
        <f>IF(GetColor('분석 결과'!I27,FALSE,-1)=13421772,'분석 결과'!Y27,"")</f>
        <v>불검출</v>
      </c>
      <c r="J24" s="61" t="str">
        <f>IF(GetColor('분석 결과'!J27,FALSE,-1)=13421772,'분석 결과'!Z27,"")</f>
        <v>불검출</v>
      </c>
      <c r="K24" s="61" t="str">
        <f>IF(GetColor('분석 결과'!K27,FALSE,-1)=13421772,'분석 결과'!AA27,"")</f>
        <v>불검출</v>
      </c>
      <c r="L24" s="61" t="str">
        <f>IF(GetColor('분석 결과'!L27,FALSE,-1)=13421772,'분석 결과'!AB27,"")</f>
        <v>불검출</v>
      </c>
      <c r="M24" s="61" t="str">
        <f>IF(GetColor('분석 결과'!M27,FALSE,-1)=13421772,'분석 결과'!AC27,"")</f>
        <v>불검출</v>
      </c>
      <c r="N24" s="61" t="str">
        <f>IF(GetColor('분석 결과'!N27,FALSE,-1)=13421772,'분석 결과'!AD27,"")</f>
        <v>불검출</v>
      </c>
      <c r="O24" s="61" t="str">
        <f>IF(GetColor('분석 결과'!O27,FALSE,-1)=13421772,'분석 결과'!AE27,"")</f>
        <v>불검출</v>
      </c>
      <c r="P24" s="61" t="str">
        <f>IF(GetColor('분석 결과'!P27,FALSE,-1)=13421772,'분석 결과'!AF27,"")</f>
        <v>불검출</v>
      </c>
      <c r="Q24" s="61" t="str">
        <f>IF(GetColor('분석 결과'!Q27,FALSE,-1)=13421772,'분석 결과'!AG27,"")</f>
        <v>불검출</v>
      </c>
      <c r="R24" s="92">
        <f>IF(GetColor('분석 결과'!R27,FALSE,-1)=13421772,'분석 결과'!AH27,"")</f>
        <v>1.2099999999999999E-3</v>
      </c>
      <c r="S24" s="92">
        <f>IF(GetColor('분석 결과'!S27,FALSE,-1)=13421772,'분석 결과'!AI27,"")</f>
        <v>7.1000000000000002E-4</v>
      </c>
      <c r="T24" s="94">
        <f>IF(GetColor('분석 결과'!T27,FALSE,-1)=13421772,'분석 결과'!AJ27,"")</f>
        <v>1.2999999999999999E-4</v>
      </c>
    </row>
    <row r="25" spans="1:20" x14ac:dyDescent="0.3">
      <c r="A25" s="19">
        <v>1</v>
      </c>
      <c r="B25" s="19" t="str">
        <f>'분석 결과'!B28</f>
        <v>4782300042-15</v>
      </c>
      <c r="C25" s="19" t="str">
        <f>'분석 결과'!C28</f>
        <v>다현산소수</v>
      </c>
      <c r="D25" s="53" t="str">
        <f>'분석 결과'!D28</f>
        <v>먹는샘물/먹는샘물제품수</v>
      </c>
      <c r="E25" s="53" t="str">
        <f>'분석 결과'!E28</f>
        <v>08-29</v>
      </c>
      <c r="F25" s="61" t="str">
        <f>IF(GetColor('분석 결과'!F28,FALSE,-1)=13421772,'분석 결과'!V28,"")</f>
        <v>불검출</v>
      </c>
      <c r="G25" s="61" t="str">
        <f>IF(GetColor('분석 결과'!G28,FALSE,-1)=13421772,'분석 결과'!W28,"")</f>
        <v>불검출</v>
      </c>
      <c r="H25" s="61" t="str">
        <f>IF(GetColor('분석 결과'!H28,FALSE,-1)=13421772,'분석 결과'!X28,"")</f>
        <v>불검출</v>
      </c>
      <c r="I25" s="61" t="str">
        <f>IF(GetColor('분석 결과'!I28,FALSE,-1)=13421772,'분석 결과'!Y28,"")</f>
        <v>불검출</v>
      </c>
      <c r="J25" s="61" t="str">
        <f>IF(GetColor('분석 결과'!J28,FALSE,-1)=13421772,'분석 결과'!Z28,"")</f>
        <v>불검출</v>
      </c>
      <c r="K25" s="61" t="str">
        <f>IF(GetColor('분석 결과'!K28,FALSE,-1)=13421772,'분석 결과'!AA28,"")</f>
        <v>불검출</v>
      </c>
      <c r="L25" s="61" t="str">
        <f>IF(GetColor('분석 결과'!L28,FALSE,-1)=13421772,'분석 결과'!AB28,"")</f>
        <v>불검출</v>
      </c>
      <c r="M25" s="61" t="str">
        <f>IF(GetColor('분석 결과'!M28,FALSE,-1)=13421772,'분석 결과'!AC28,"")</f>
        <v>불검출</v>
      </c>
      <c r="N25" s="61" t="str">
        <f>IF(GetColor('분석 결과'!N28,FALSE,-1)=13421772,'분석 결과'!AD28,"")</f>
        <v>불검출</v>
      </c>
      <c r="O25" s="92">
        <f>IF(GetColor('분석 결과'!O28,FALSE,-1)=13421772,'분석 결과'!AE28,"")</f>
        <v>3.9E-2</v>
      </c>
      <c r="P25" s="61" t="str">
        <f>IF(GetColor('분석 결과'!P28,FALSE,-1)=13421772,'분석 결과'!AF28,"")</f>
        <v>불검출</v>
      </c>
      <c r="Q25" s="92">
        <f>IF(GetColor('분석 결과'!Q28,FALSE,-1)=13421772,'분석 결과'!AG28,"")</f>
        <v>1.23E-2</v>
      </c>
      <c r="R25" s="92">
        <f>IF(GetColor('분석 결과'!R28,FALSE,-1)=13421772,'분석 결과'!AH28,"")</f>
        <v>5.3699999999999998E-3</v>
      </c>
      <c r="S25" s="92">
        <f>IF(GetColor('분석 결과'!S28,FALSE,-1)=13421772,'분석 결과'!AI28,"")</f>
        <v>1.357E-2</v>
      </c>
      <c r="T25" s="94">
        <f>IF(GetColor('분석 결과'!T28,FALSE,-1)=13421772,'분석 결과'!AJ28,"")</f>
        <v>1.5E-3</v>
      </c>
    </row>
    <row r="26" spans="1:20" x14ac:dyDescent="0.3">
      <c r="A26" s="19">
        <v>1</v>
      </c>
      <c r="B26" s="19" t="str">
        <f>'분석 결과'!B29</f>
        <v>4782300042-16</v>
      </c>
      <c r="C26" s="19" t="str">
        <f>'분석 결과'!C29</f>
        <v>이뮤니프 메가 미네랄 워터</v>
      </c>
      <c r="D26" s="53" t="str">
        <f>'분석 결과'!D29</f>
        <v>먹는샘물/먹는샘물제품수</v>
      </c>
      <c r="E26" s="53" t="str">
        <f>'분석 결과'!E29</f>
        <v>08-29</v>
      </c>
      <c r="F26" s="61" t="str">
        <f>IF(GetColor('분석 결과'!F29,FALSE,-1)=13421772,'분석 결과'!V29,"")</f>
        <v>불검출</v>
      </c>
      <c r="G26" s="61" t="str">
        <f>IF(GetColor('분석 결과'!G29,FALSE,-1)=13421772,'분석 결과'!W29,"")</f>
        <v>불검출</v>
      </c>
      <c r="H26" s="61" t="str">
        <f>IF(GetColor('분석 결과'!H29,FALSE,-1)=13421772,'분석 결과'!X29,"")</f>
        <v>불검출</v>
      </c>
      <c r="I26" s="61" t="str">
        <f>IF(GetColor('분석 결과'!I29,FALSE,-1)=13421772,'분석 결과'!Y29,"")</f>
        <v>불검출</v>
      </c>
      <c r="J26" s="61" t="str">
        <f>IF(GetColor('분석 결과'!J29,FALSE,-1)=13421772,'분석 결과'!Z29,"")</f>
        <v>불검출</v>
      </c>
      <c r="K26" s="61" t="str">
        <f>IF(GetColor('분석 결과'!K29,FALSE,-1)=13421772,'분석 결과'!AA29,"")</f>
        <v>불검출</v>
      </c>
      <c r="L26" s="61" t="str">
        <f>IF(GetColor('분석 결과'!L29,FALSE,-1)=13421772,'분석 결과'!AB29,"")</f>
        <v>불검출</v>
      </c>
      <c r="M26" s="92">
        <f>IF(GetColor('분석 결과'!M29,FALSE,-1)=13421772,'분석 결과'!AC29,"")</f>
        <v>5.8999999999999999E-3</v>
      </c>
      <c r="N26" s="61" t="str">
        <f>IF(GetColor('분석 결과'!N29,FALSE,-1)=13421772,'분석 결과'!AD29,"")</f>
        <v>불검출</v>
      </c>
      <c r="O26" s="61" t="str">
        <f>IF(GetColor('분석 결과'!O29,FALSE,-1)=13421772,'분석 결과'!AE29,"")</f>
        <v>불검출</v>
      </c>
      <c r="P26" s="61" t="str">
        <f>IF(GetColor('분석 결과'!P29,FALSE,-1)=13421772,'분석 결과'!AF29,"")</f>
        <v>불검출</v>
      </c>
      <c r="Q26" s="92">
        <f>IF(GetColor('분석 결과'!Q29,FALSE,-1)=13421772,'분석 결과'!AG29,"")</f>
        <v>1.34E-2</v>
      </c>
      <c r="R26" s="61" t="str">
        <f>IF(GetColor('분석 결과'!R29,FALSE,-1)=13421772,'분석 결과'!AH29,"")</f>
        <v>불검출</v>
      </c>
      <c r="S26" s="61" t="str">
        <f>IF(GetColor('분석 결과'!S29,FALSE,-1)=13421772,'분석 결과'!AI29,"")</f>
        <v>불검출</v>
      </c>
      <c r="T26" s="94">
        <f>IF(GetColor('분석 결과'!T29,FALSE,-1)=13421772,'분석 결과'!AJ29,"")</f>
        <v>3.8000000000000002E-4</v>
      </c>
    </row>
    <row r="27" spans="1:20" x14ac:dyDescent="0.3">
      <c r="A27" s="19">
        <v>1</v>
      </c>
      <c r="B27" s="19" t="str">
        <f>'분석 결과'!B30</f>
        <v>4782300042-17</v>
      </c>
      <c r="C27" s="19" t="str">
        <f>'분석 결과'!C30</f>
        <v>미네랄 메이킹 7.4</v>
      </c>
      <c r="D27" s="53" t="str">
        <f>'분석 결과'!D30</f>
        <v>먹는샘물/먹는샘물제품수</v>
      </c>
      <c r="E27" s="53" t="str">
        <f>'분석 결과'!E30</f>
        <v>08-29</v>
      </c>
      <c r="F27" s="61" t="str">
        <f>IF(GetColor('분석 결과'!F30,FALSE,-1)=13421772,'분석 결과'!V30,"")</f>
        <v>불검출</v>
      </c>
      <c r="G27" s="61" t="str">
        <f>IF(GetColor('분석 결과'!G30,FALSE,-1)=13421772,'분석 결과'!W30,"")</f>
        <v>불검출</v>
      </c>
      <c r="H27" s="61" t="str">
        <f>IF(GetColor('분석 결과'!H30,FALSE,-1)=13421772,'분석 결과'!X30,"")</f>
        <v>불검출</v>
      </c>
      <c r="I27" s="61" t="str">
        <f>IF(GetColor('분석 결과'!I30,FALSE,-1)=13421772,'분석 결과'!Y30,"")</f>
        <v>불검출</v>
      </c>
      <c r="J27" s="61" t="str">
        <f>IF(GetColor('분석 결과'!J30,FALSE,-1)=13421772,'분석 결과'!Z30,"")</f>
        <v>불검출</v>
      </c>
      <c r="K27" s="61" t="str">
        <f>IF(GetColor('분석 결과'!K30,FALSE,-1)=13421772,'분석 결과'!AA30,"")</f>
        <v>불검출</v>
      </c>
      <c r="L27" s="61" t="str">
        <f>IF(GetColor('분석 결과'!L30,FALSE,-1)=13421772,'분석 결과'!AB30,"")</f>
        <v>불검출</v>
      </c>
      <c r="M27" s="61" t="str">
        <f>IF(GetColor('분석 결과'!M30,FALSE,-1)=13421772,'분석 결과'!AC30,"")</f>
        <v>불검출</v>
      </c>
      <c r="N27" s="61" t="str">
        <f>IF(GetColor('분석 결과'!N30,FALSE,-1)=13421772,'분석 결과'!AD30,"")</f>
        <v>불검출</v>
      </c>
      <c r="O27" s="61" t="str">
        <f>IF(GetColor('분석 결과'!O30,FALSE,-1)=13421772,'분석 결과'!AE30,"")</f>
        <v>불검출</v>
      </c>
      <c r="P27" s="61" t="str">
        <f>IF(GetColor('분석 결과'!P30,FALSE,-1)=13421772,'분석 결과'!AF30,"")</f>
        <v>불검출</v>
      </c>
      <c r="Q27" s="61" t="str">
        <f>IF(GetColor('분석 결과'!Q30,FALSE,-1)=13421772,'분석 결과'!AG30,"")</f>
        <v>불검출</v>
      </c>
      <c r="R27" s="93">
        <f>IF(GetColor('분석 결과'!R30,FALSE,-1)=13421772,'분석 결과'!AH30,"")</f>
        <v>0.67791000000000001</v>
      </c>
      <c r="S27" s="92">
        <f>IF(GetColor('분석 결과'!S30,FALSE,-1)=13421772,'분석 결과'!AI30,"")</f>
        <v>6.8000000000000005E-4</v>
      </c>
      <c r="T27" s="94">
        <f>IF(GetColor('분석 결과'!T30,FALSE,-1)=13421772,'분석 결과'!AJ30,"")</f>
        <v>2.2000000000000001E-4</v>
      </c>
    </row>
    <row r="28" spans="1:20" x14ac:dyDescent="0.3">
      <c r="A28" s="19">
        <v>1</v>
      </c>
      <c r="B28" s="19" t="str">
        <f>'분석 결과'!B31</f>
        <v>4782300042-18</v>
      </c>
      <c r="C28" s="19" t="str">
        <f>'분석 결과'!C31</f>
        <v>당하수</v>
      </c>
      <c r="D28" s="53" t="str">
        <f>'분석 결과'!D31</f>
        <v>먹는샘물/먹는샘물제품수</v>
      </c>
      <c r="E28" s="53" t="str">
        <f>'분석 결과'!E31</f>
        <v>08-29</v>
      </c>
      <c r="F28" s="61" t="str">
        <f>IF(GetColor('분석 결과'!F31,FALSE,-1)=13421772,'분석 결과'!V31,"")</f>
        <v>불검출</v>
      </c>
      <c r="G28" s="61" t="str">
        <f>IF(GetColor('분석 결과'!G31,FALSE,-1)=13421772,'분석 결과'!W31,"")</f>
        <v>불검출</v>
      </c>
      <c r="H28" s="61" t="str">
        <f>IF(GetColor('분석 결과'!H31,FALSE,-1)=13421772,'분석 결과'!X31,"")</f>
        <v>불검출</v>
      </c>
      <c r="I28" s="61" t="str">
        <f>IF(GetColor('분석 결과'!I31,FALSE,-1)=13421772,'분석 결과'!Y31,"")</f>
        <v>불검출</v>
      </c>
      <c r="J28" s="61" t="str">
        <f>IF(GetColor('분석 결과'!J31,FALSE,-1)=13421772,'분석 결과'!Z31,"")</f>
        <v>불검출</v>
      </c>
      <c r="K28" s="61" t="str">
        <f>IF(GetColor('분석 결과'!K31,FALSE,-1)=13421772,'분석 결과'!AA31,"")</f>
        <v>불검출</v>
      </c>
      <c r="L28" s="61" t="str">
        <f>IF(GetColor('분석 결과'!L31,FALSE,-1)=13421772,'분석 결과'!AB31,"")</f>
        <v>불검출</v>
      </c>
      <c r="M28" s="61" t="str">
        <f>IF(GetColor('분석 결과'!M31,FALSE,-1)=13421772,'분석 결과'!AC31,"")</f>
        <v>불검출</v>
      </c>
      <c r="N28" s="61" t="str">
        <f>IF(GetColor('분석 결과'!N31,FALSE,-1)=13421772,'분석 결과'!AD31,"")</f>
        <v>불검출</v>
      </c>
      <c r="O28" s="61" t="str">
        <f>IF(GetColor('분석 결과'!O31,FALSE,-1)=13421772,'분석 결과'!AE31,"")</f>
        <v>불검출</v>
      </c>
      <c r="P28" s="61" t="str">
        <f>IF(GetColor('분석 결과'!P31,FALSE,-1)=13421772,'분석 결과'!AF31,"")</f>
        <v>불검출</v>
      </c>
      <c r="Q28" s="61" t="str">
        <f>IF(GetColor('분석 결과'!Q31,FALSE,-1)=13421772,'분석 결과'!AG31,"")</f>
        <v>불검출</v>
      </c>
      <c r="R28" s="92">
        <f>IF(GetColor('분석 결과'!R31,FALSE,-1)=13421772,'분석 결과'!AH31,"")</f>
        <v>2.7999999999999998E-4</v>
      </c>
      <c r="S28" s="92">
        <f>IF(GetColor('분석 결과'!S31,FALSE,-1)=13421772,'분석 결과'!AI31,"")</f>
        <v>3.4000000000000002E-4</v>
      </c>
      <c r="T28" s="94">
        <f>IF(GetColor('분석 결과'!T31,FALSE,-1)=13421772,'분석 결과'!AJ31,"")</f>
        <v>1.66E-3</v>
      </c>
    </row>
    <row r="29" spans="1:20" x14ac:dyDescent="0.3">
      <c r="A29" s="19">
        <v>1</v>
      </c>
      <c r="B29" s="19" t="str">
        <f>'분석 결과'!B32</f>
        <v>4782300042-19</v>
      </c>
      <c r="C29" s="19" t="str">
        <f>'분석 결과'!C32</f>
        <v>뉴글라세</v>
      </c>
      <c r="D29" s="53" t="str">
        <f>'분석 결과'!D32</f>
        <v>먹는샘물/먹는샘물제품수</v>
      </c>
      <c r="E29" s="53" t="str">
        <f>'분석 결과'!E32</f>
        <v>08-29</v>
      </c>
      <c r="F29" s="61" t="str">
        <f>IF(GetColor('분석 결과'!F32,FALSE,-1)=13421772,'분석 결과'!V32,"")</f>
        <v>불검출</v>
      </c>
      <c r="G29" s="61" t="str">
        <f>IF(GetColor('분석 결과'!G32,FALSE,-1)=13421772,'분석 결과'!W32,"")</f>
        <v>불검출</v>
      </c>
      <c r="H29" s="61" t="str">
        <f>IF(GetColor('분석 결과'!H32,FALSE,-1)=13421772,'분석 결과'!X32,"")</f>
        <v>불검출</v>
      </c>
      <c r="I29" s="61" t="str">
        <f>IF(GetColor('분석 결과'!I32,FALSE,-1)=13421772,'분석 결과'!Y32,"")</f>
        <v>불검출</v>
      </c>
      <c r="J29" s="61" t="str">
        <f>IF(GetColor('분석 결과'!J32,FALSE,-1)=13421772,'분석 결과'!Z32,"")</f>
        <v>불검출</v>
      </c>
      <c r="K29" s="61" t="str">
        <f>IF(GetColor('분석 결과'!K32,FALSE,-1)=13421772,'분석 결과'!AA32,"")</f>
        <v>불검출</v>
      </c>
      <c r="L29" s="61" t="str">
        <f>IF(GetColor('분석 결과'!L32,FALSE,-1)=13421772,'분석 결과'!AB32,"")</f>
        <v>불검출</v>
      </c>
      <c r="M29" s="61" t="str">
        <f>IF(GetColor('분석 결과'!M32,FALSE,-1)=13421772,'분석 결과'!AC32,"")</f>
        <v>불검출</v>
      </c>
      <c r="N29" s="61" t="str">
        <f>IF(GetColor('분석 결과'!N32,FALSE,-1)=13421772,'분석 결과'!AD32,"")</f>
        <v>불검출</v>
      </c>
      <c r="O29" s="61" t="str">
        <f>IF(GetColor('분석 결과'!O32,FALSE,-1)=13421772,'분석 결과'!AE32,"")</f>
        <v>불검출</v>
      </c>
      <c r="P29" s="61" t="str">
        <f>IF(GetColor('분석 결과'!P32,FALSE,-1)=13421772,'분석 결과'!AF32,"")</f>
        <v>불검출</v>
      </c>
      <c r="Q29" s="61" t="str">
        <f>IF(GetColor('분석 결과'!Q32,FALSE,-1)=13421772,'분석 결과'!AG32,"")</f>
        <v>불검출</v>
      </c>
      <c r="R29" s="92">
        <f>IF(GetColor('분석 결과'!R32,FALSE,-1)=13421772,'분석 결과'!AH32,"")</f>
        <v>4.6100000000000004E-3</v>
      </c>
      <c r="S29" s="61" t="str">
        <f>IF(GetColor('분석 결과'!S32,FALSE,-1)=13421772,'분석 결과'!AI32,"")</f>
        <v>불검출</v>
      </c>
      <c r="T29" s="60" t="str">
        <f>IF(GetColor('분석 결과'!T32,FALSE,-1)=13421772,'분석 결과'!AJ32,"")</f>
        <v>불검출</v>
      </c>
    </row>
    <row r="30" spans="1:20" x14ac:dyDescent="0.3">
      <c r="A30" s="19">
        <v>1</v>
      </c>
      <c r="B30" s="19" t="str">
        <f>'분석 결과'!B33</f>
        <v>4782300042-20</v>
      </c>
      <c r="C30" s="19" t="str">
        <f>'분석 결과'!C33</f>
        <v>닥터M</v>
      </c>
      <c r="D30" s="53" t="str">
        <f>'분석 결과'!D33</f>
        <v>먹는샘물/먹는샘물제품수</v>
      </c>
      <c r="E30" s="53" t="str">
        <f>'분석 결과'!E33</f>
        <v>08-29</v>
      </c>
      <c r="F30" s="61" t="str">
        <f>IF(GetColor('분석 결과'!F33,FALSE,-1)=13421772,'분석 결과'!V33,"")</f>
        <v>불검출</v>
      </c>
      <c r="G30" s="61" t="str">
        <f>IF(GetColor('분석 결과'!G33,FALSE,-1)=13421772,'분석 결과'!W33,"")</f>
        <v>불검출</v>
      </c>
      <c r="H30" s="61" t="str">
        <f>IF(GetColor('분석 결과'!H33,FALSE,-1)=13421772,'분석 결과'!X33,"")</f>
        <v>불검출</v>
      </c>
      <c r="I30" s="61" t="str">
        <f>IF(GetColor('분석 결과'!I33,FALSE,-1)=13421772,'분석 결과'!Y33,"")</f>
        <v>불검출</v>
      </c>
      <c r="J30" s="61" t="str">
        <f>IF(GetColor('분석 결과'!J33,FALSE,-1)=13421772,'분석 결과'!Z33,"")</f>
        <v>불검출</v>
      </c>
      <c r="K30" s="61" t="str">
        <f>IF(GetColor('분석 결과'!K33,FALSE,-1)=13421772,'분석 결과'!AA33,"")</f>
        <v>불검출</v>
      </c>
      <c r="L30" s="61" t="str">
        <f>IF(GetColor('분석 결과'!L33,FALSE,-1)=13421772,'분석 결과'!AB33,"")</f>
        <v>불검출</v>
      </c>
      <c r="M30" s="92">
        <f>IF(GetColor('분석 결과'!M33,FALSE,-1)=13421772,'분석 결과'!AC33,"")</f>
        <v>8.2000000000000007E-3</v>
      </c>
      <c r="N30" s="61" t="str">
        <f>IF(GetColor('분석 결과'!N33,FALSE,-1)=13421772,'분석 결과'!AD33,"")</f>
        <v>불검출</v>
      </c>
      <c r="O30" s="61" t="str">
        <f>IF(GetColor('분석 결과'!O33,FALSE,-1)=13421772,'분석 결과'!AE33,"")</f>
        <v>불검출</v>
      </c>
      <c r="P30" s="61" t="str">
        <f>IF(GetColor('분석 결과'!P33,FALSE,-1)=13421772,'분석 결과'!AF33,"")</f>
        <v>불검출</v>
      </c>
      <c r="Q30" s="92">
        <f>IF(GetColor('분석 결과'!Q33,FALSE,-1)=13421772,'분석 결과'!AG33,"")</f>
        <v>1.7299999999999999E-2</v>
      </c>
      <c r="R30" s="92">
        <f>IF(GetColor('분석 결과'!R33,FALSE,-1)=13421772,'분석 결과'!AH33,"")</f>
        <v>4.3400000000000001E-3</v>
      </c>
      <c r="S30" s="61" t="str">
        <f>IF(GetColor('분석 결과'!S33,FALSE,-1)=13421772,'분석 결과'!AI33,"")</f>
        <v>불검출</v>
      </c>
      <c r="T30" s="94">
        <f>IF(GetColor('분석 결과'!T33,FALSE,-1)=13421772,'분석 결과'!AJ33,"")</f>
        <v>1E-4</v>
      </c>
    </row>
    <row r="31" spans="1:20" x14ac:dyDescent="0.3">
      <c r="A31" s="19">
        <v>1</v>
      </c>
      <c r="B31" s="19" t="str">
        <f>'분석 결과'!B34</f>
        <v>4782300042-21</v>
      </c>
      <c r="C31" s="19" t="str">
        <f>'분석 결과'!C34</f>
        <v>휴웰수</v>
      </c>
      <c r="D31" s="53" t="str">
        <f>'분석 결과'!D34</f>
        <v>먹는샘물/먹는샘물제품수</v>
      </c>
      <c r="E31" s="53" t="str">
        <f>'분석 결과'!E34</f>
        <v>08-29</v>
      </c>
      <c r="F31" s="61" t="str">
        <f>IF(GetColor('분석 결과'!F34,FALSE,-1)=13421772,'분석 결과'!V34,"")</f>
        <v>불검출</v>
      </c>
      <c r="G31" s="61" t="str">
        <f>IF(GetColor('분석 결과'!G34,FALSE,-1)=13421772,'분석 결과'!W34,"")</f>
        <v>불검출</v>
      </c>
      <c r="H31" s="61" t="str">
        <f>IF(GetColor('분석 결과'!H34,FALSE,-1)=13421772,'분석 결과'!X34,"")</f>
        <v>불검출</v>
      </c>
      <c r="I31" s="61" t="str">
        <f>IF(GetColor('분석 결과'!I34,FALSE,-1)=13421772,'분석 결과'!Y34,"")</f>
        <v>불검출</v>
      </c>
      <c r="J31" s="61" t="str">
        <f>IF(GetColor('분석 결과'!J34,FALSE,-1)=13421772,'분석 결과'!Z34,"")</f>
        <v>불검출</v>
      </c>
      <c r="K31" s="61" t="str">
        <f>IF(GetColor('분석 결과'!K34,FALSE,-1)=13421772,'분석 결과'!AA34,"")</f>
        <v>불검출</v>
      </c>
      <c r="L31" s="61" t="str">
        <f>IF(GetColor('분석 결과'!L34,FALSE,-1)=13421772,'분석 결과'!AB34,"")</f>
        <v>불검출</v>
      </c>
      <c r="M31" s="61" t="str">
        <f>IF(GetColor('분석 결과'!M34,FALSE,-1)=13421772,'분석 결과'!AC34,"")</f>
        <v>불검출</v>
      </c>
      <c r="N31" s="61" t="str">
        <f>IF(GetColor('분석 결과'!N34,FALSE,-1)=13421772,'분석 결과'!AD34,"")</f>
        <v>불검출</v>
      </c>
      <c r="O31" s="92">
        <f>IF(GetColor('분석 결과'!O34,FALSE,-1)=13421772,'분석 결과'!AE34,"")</f>
        <v>6.7000000000000004E-2</v>
      </c>
      <c r="P31" s="61" t="str">
        <f>IF(GetColor('분석 결과'!P34,FALSE,-1)=13421772,'분석 결과'!AF34,"")</f>
        <v>불검출</v>
      </c>
      <c r="Q31" s="92">
        <f>IF(GetColor('분석 결과'!Q34,FALSE,-1)=13421772,'분석 결과'!AG34,"")</f>
        <v>1.09E-2</v>
      </c>
      <c r="R31" s="92">
        <f>IF(GetColor('분석 결과'!R34,FALSE,-1)=13421772,'분석 결과'!AH34,"")</f>
        <v>2.15E-3</v>
      </c>
      <c r="S31" s="92">
        <f>IF(GetColor('분석 결과'!S34,FALSE,-1)=13421772,'분석 결과'!AI34,"")</f>
        <v>1.064E-2</v>
      </c>
      <c r="T31" s="94">
        <f>IF(GetColor('분석 결과'!T34,FALSE,-1)=13421772,'분석 결과'!AJ34,"")</f>
        <v>1.4400000000000001E-3</v>
      </c>
    </row>
    <row r="32" spans="1:20" x14ac:dyDescent="0.3">
      <c r="A32" s="19">
        <v>1</v>
      </c>
      <c r="B32" s="19" t="str">
        <f>'분석 결과'!B35</f>
        <v>4782300042-22</v>
      </c>
      <c r="C32" s="19" t="str">
        <f>'분석 결과'!C35</f>
        <v>일라이트 자연한모금</v>
      </c>
      <c r="D32" s="53" t="str">
        <f>'분석 결과'!D35</f>
        <v>먹는샘물/먹는샘물제품수</v>
      </c>
      <c r="E32" s="53" t="str">
        <f>'분석 결과'!E35</f>
        <v>08-29</v>
      </c>
      <c r="F32" s="61" t="str">
        <f>IF(GetColor('분석 결과'!F35,FALSE,-1)=13421772,'분석 결과'!V35,"")</f>
        <v>불검출</v>
      </c>
      <c r="G32" s="61" t="str">
        <f>IF(GetColor('분석 결과'!G35,FALSE,-1)=13421772,'분석 결과'!W35,"")</f>
        <v>불검출</v>
      </c>
      <c r="H32" s="61" t="str">
        <f>IF(GetColor('분석 결과'!H35,FALSE,-1)=13421772,'분석 결과'!X35,"")</f>
        <v>불검출</v>
      </c>
      <c r="I32" s="61" t="str">
        <f>IF(GetColor('분석 결과'!I35,FALSE,-1)=13421772,'분석 결과'!Y35,"")</f>
        <v>불검출</v>
      </c>
      <c r="J32" s="61" t="str">
        <f>IF(GetColor('분석 결과'!J35,FALSE,-1)=13421772,'분석 결과'!Z35,"")</f>
        <v>불검출</v>
      </c>
      <c r="K32" s="61" t="str">
        <f>IF(GetColor('분석 결과'!K35,FALSE,-1)=13421772,'분석 결과'!AA35,"")</f>
        <v>불검출</v>
      </c>
      <c r="L32" s="61" t="str">
        <f>IF(GetColor('분석 결과'!L35,FALSE,-1)=13421772,'분석 결과'!AB35,"")</f>
        <v>불검출</v>
      </c>
      <c r="M32" s="61" t="str">
        <f>IF(GetColor('분석 결과'!M35,FALSE,-1)=13421772,'분석 결과'!AC35,"")</f>
        <v>불검출</v>
      </c>
      <c r="N32" s="61" t="str">
        <f>IF(GetColor('분석 결과'!N35,FALSE,-1)=13421772,'분석 결과'!AD35,"")</f>
        <v>불검출</v>
      </c>
      <c r="O32" s="61" t="str">
        <f>IF(GetColor('분석 결과'!O35,FALSE,-1)=13421772,'분석 결과'!AE35,"")</f>
        <v>불검출</v>
      </c>
      <c r="P32" s="61" t="str">
        <f>IF(GetColor('분석 결과'!P35,FALSE,-1)=13421772,'분석 결과'!AF35,"")</f>
        <v>불검출</v>
      </c>
      <c r="Q32" s="61" t="str">
        <f>IF(GetColor('분석 결과'!Q35,FALSE,-1)=13421772,'분석 결과'!AG35,"")</f>
        <v>불검출</v>
      </c>
      <c r="R32" s="92">
        <f>IF(GetColor('분석 결과'!R35,FALSE,-1)=13421772,'분석 결과'!AH35,"")</f>
        <v>1.64E-3</v>
      </c>
      <c r="S32" s="92">
        <f>IF(GetColor('분석 결과'!S35,FALSE,-1)=13421772,'분석 결과'!AI35,"")</f>
        <v>3.63E-3</v>
      </c>
      <c r="T32" s="94">
        <f>IF(GetColor('분석 결과'!T35,FALSE,-1)=13421772,'분석 결과'!AJ35,"")</f>
        <v>4.2999999999999999E-4</v>
      </c>
    </row>
    <row r="33" spans="1:20" x14ac:dyDescent="0.3">
      <c r="A33" s="19">
        <v>1</v>
      </c>
      <c r="B33" s="19" t="str">
        <f>'분석 결과'!B36</f>
        <v>4782300042-23</v>
      </c>
      <c r="C33" s="19" t="str">
        <f>'분석 결과'!C36</f>
        <v>일라이트 pH한모금</v>
      </c>
      <c r="D33" s="53" t="str">
        <f>'분석 결과'!D36</f>
        <v>먹는샘물/먹는샘물제품수</v>
      </c>
      <c r="E33" s="53" t="str">
        <f>'분석 결과'!E36</f>
        <v>08-29</v>
      </c>
      <c r="F33" s="61" t="str">
        <f>IF(GetColor('분석 결과'!F36,FALSE,-1)=13421772,'분석 결과'!V36,"")</f>
        <v>불검출</v>
      </c>
      <c r="G33" s="61" t="str">
        <f>IF(GetColor('분석 결과'!G36,FALSE,-1)=13421772,'분석 결과'!W36,"")</f>
        <v>불검출</v>
      </c>
      <c r="H33" s="61" t="str">
        <f>IF(GetColor('분석 결과'!H36,FALSE,-1)=13421772,'분석 결과'!X36,"")</f>
        <v>불검출</v>
      </c>
      <c r="I33" s="61" t="str">
        <f>IF(GetColor('분석 결과'!I36,FALSE,-1)=13421772,'분석 결과'!Y36,"")</f>
        <v>불검출</v>
      </c>
      <c r="J33" s="61" t="str">
        <f>IF(GetColor('분석 결과'!J36,FALSE,-1)=13421772,'분석 결과'!Z36,"")</f>
        <v>불검출</v>
      </c>
      <c r="K33" s="61" t="str">
        <f>IF(GetColor('분석 결과'!K36,FALSE,-1)=13421772,'분석 결과'!AA36,"")</f>
        <v>불검출</v>
      </c>
      <c r="L33" s="61" t="str">
        <f>IF(GetColor('분석 결과'!L36,FALSE,-1)=13421772,'분석 결과'!AB36,"")</f>
        <v>불검출</v>
      </c>
      <c r="M33" s="61" t="str">
        <f>IF(GetColor('분석 결과'!M36,FALSE,-1)=13421772,'분석 결과'!AC36,"")</f>
        <v>불검출</v>
      </c>
      <c r="N33" s="61" t="str">
        <f>IF(GetColor('분석 결과'!N36,FALSE,-1)=13421772,'분석 결과'!AD36,"")</f>
        <v>불검출</v>
      </c>
      <c r="O33" s="61" t="str">
        <f>IF(GetColor('분석 결과'!O36,FALSE,-1)=13421772,'분석 결과'!AE36,"")</f>
        <v>불검출</v>
      </c>
      <c r="P33" s="61" t="str">
        <f>IF(GetColor('분석 결과'!P36,FALSE,-1)=13421772,'분석 결과'!AF36,"")</f>
        <v>불검출</v>
      </c>
      <c r="Q33" s="61" t="str">
        <f>IF(GetColor('분석 결과'!Q36,FALSE,-1)=13421772,'분석 결과'!AG36,"")</f>
        <v>불검출</v>
      </c>
      <c r="R33" s="92">
        <f>IF(GetColor('분석 결과'!R36,FALSE,-1)=13421772,'분석 결과'!AH36,"")</f>
        <v>6.2E-4</v>
      </c>
      <c r="S33" s="92">
        <f>IF(GetColor('분석 결과'!S36,FALSE,-1)=13421772,'분석 결과'!AI36,"")</f>
        <v>3.3899999999999998E-3</v>
      </c>
      <c r="T33" s="94">
        <f>IF(GetColor('분석 결과'!T36,FALSE,-1)=13421772,'분석 결과'!AJ36,"")</f>
        <v>6.0000000000000002E-5</v>
      </c>
    </row>
    <row r="34" spans="1:20" x14ac:dyDescent="0.3">
      <c r="A34" s="19">
        <v>1</v>
      </c>
      <c r="B34" s="19" t="str">
        <f>'분석 결과'!B37</f>
        <v>4782300042-24</v>
      </c>
      <c r="C34" s="19" t="str">
        <f>'분석 결과'!C37</f>
        <v>미네락 300</v>
      </c>
      <c r="D34" s="53" t="str">
        <f>'분석 결과'!D37</f>
        <v>먹는샘물/먹는샘물제품수</v>
      </c>
      <c r="E34" s="53" t="str">
        <f>'분석 결과'!E37</f>
        <v>08-29</v>
      </c>
      <c r="F34" s="61" t="str">
        <f>IF(GetColor('분석 결과'!F37,FALSE,-1)=13421772,'분석 결과'!V37,"")</f>
        <v>불검출</v>
      </c>
      <c r="G34" s="61" t="str">
        <f>IF(GetColor('분석 결과'!G37,FALSE,-1)=13421772,'분석 결과'!W37,"")</f>
        <v>불검출</v>
      </c>
      <c r="H34" s="92">
        <f>IF(GetColor('분석 결과'!H37,FALSE,-1)=13421772,'분석 결과'!X37,"")</f>
        <v>6.7000000000000002E-3</v>
      </c>
      <c r="I34" s="61" t="str">
        <f>IF(GetColor('분석 결과'!I37,FALSE,-1)=13421772,'분석 결과'!Y37,"")</f>
        <v>불검출</v>
      </c>
      <c r="J34" s="61" t="str">
        <f>IF(GetColor('분석 결과'!J37,FALSE,-1)=13421772,'분석 결과'!Z37,"")</f>
        <v>불검출</v>
      </c>
      <c r="K34" s="61" t="str">
        <f>IF(GetColor('분석 결과'!K37,FALSE,-1)=13421772,'분석 결과'!AA37,"")</f>
        <v>불검출</v>
      </c>
      <c r="L34" s="92">
        <f>IF(GetColor('분석 결과'!L37,FALSE,-1)=13421772,'분석 결과'!AB37,"")</f>
        <v>1.23E-2</v>
      </c>
      <c r="M34" s="61" t="str">
        <f>IF(GetColor('분석 결과'!M37,FALSE,-1)=13421772,'분석 결과'!AC37,"")</f>
        <v>불검출</v>
      </c>
      <c r="N34" s="61" t="str">
        <f>IF(GetColor('분석 결과'!N37,FALSE,-1)=13421772,'분석 결과'!AD37,"")</f>
        <v>불검출</v>
      </c>
      <c r="O34" s="61" t="str">
        <f>IF(GetColor('분석 결과'!O37,FALSE,-1)=13421772,'분석 결과'!AE37,"")</f>
        <v>불검출</v>
      </c>
      <c r="P34" s="92">
        <f>IF(GetColor('분석 결과'!P37,FALSE,-1)=13421772,'분석 결과'!AF37,"")</f>
        <v>5.0999999999999997E-2</v>
      </c>
      <c r="Q34" s="61" t="str">
        <f>IF(GetColor('분석 결과'!Q37,FALSE,-1)=13421772,'분석 결과'!AG37,"")</f>
        <v>불검출</v>
      </c>
      <c r="R34" s="61" t="str">
        <f>IF(GetColor('분석 결과'!R37,FALSE,-1)=13421772,'분석 결과'!AH37,"")</f>
        <v>불검출</v>
      </c>
      <c r="S34" s="61" t="str">
        <f>IF(GetColor('분석 결과'!S37,FALSE,-1)=13421772,'분석 결과'!AI37,"")</f>
        <v>불검출</v>
      </c>
      <c r="T34" s="94">
        <f>IF(GetColor('분석 결과'!T37,FALSE,-1)=13421772,'분석 결과'!AJ37,"")</f>
        <v>4.4000000000000002E-4</v>
      </c>
    </row>
    <row r="35" spans="1:20" x14ac:dyDescent="0.3">
      <c r="A35" s="19">
        <v>1</v>
      </c>
      <c r="B35" s="19" t="str">
        <f>'분석 결과'!B38</f>
        <v>4782300042-25</v>
      </c>
      <c r="C35" s="19" t="str">
        <f>'분석 결과'!C38</f>
        <v>미다수</v>
      </c>
      <c r="D35" s="53" t="str">
        <f>'분석 결과'!D38</f>
        <v>먹는샘물/먹는샘물제품수</v>
      </c>
      <c r="E35" s="53" t="str">
        <f>'분석 결과'!E38</f>
        <v>08-29</v>
      </c>
      <c r="F35" s="61" t="str">
        <f>IF(GetColor('분석 결과'!F38,FALSE,-1)=13421772,'분석 결과'!V38,"")</f>
        <v>불검출</v>
      </c>
      <c r="G35" s="61" t="str">
        <f>IF(GetColor('분석 결과'!G38,FALSE,-1)=13421772,'분석 결과'!W38,"")</f>
        <v>불검출</v>
      </c>
      <c r="H35" s="61" t="str">
        <f>IF(GetColor('분석 결과'!H38,FALSE,-1)=13421772,'분석 결과'!X38,"")</f>
        <v>불검출</v>
      </c>
      <c r="I35" s="61" t="str">
        <f>IF(GetColor('분석 결과'!I38,FALSE,-1)=13421772,'분석 결과'!Y38,"")</f>
        <v>불검출</v>
      </c>
      <c r="J35" s="61" t="str">
        <f>IF(GetColor('분석 결과'!J38,FALSE,-1)=13421772,'분석 결과'!Z38,"")</f>
        <v>불검출</v>
      </c>
      <c r="K35" s="61" t="str">
        <f>IF(GetColor('분석 결과'!K38,FALSE,-1)=13421772,'분석 결과'!AA38,"")</f>
        <v>불검출</v>
      </c>
      <c r="L35" s="61" t="str">
        <f>IF(GetColor('분석 결과'!L38,FALSE,-1)=13421772,'분석 결과'!AB38,"")</f>
        <v>불검출</v>
      </c>
      <c r="M35" s="61" t="str">
        <f>IF(GetColor('분석 결과'!M38,FALSE,-1)=13421772,'분석 결과'!AC38,"")</f>
        <v>불검출</v>
      </c>
      <c r="N35" s="61" t="str">
        <f>IF(GetColor('분석 결과'!N38,FALSE,-1)=13421772,'분석 결과'!AD38,"")</f>
        <v>불검출</v>
      </c>
      <c r="O35" s="61" t="str">
        <f>IF(GetColor('분석 결과'!O38,FALSE,-1)=13421772,'분석 결과'!AE38,"")</f>
        <v>불검출</v>
      </c>
      <c r="P35" s="61" t="str">
        <f>IF(GetColor('분석 결과'!P38,FALSE,-1)=13421772,'분석 결과'!AF38,"")</f>
        <v>불검출</v>
      </c>
      <c r="Q35" s="61" t="str">
        <f>IF(GetColor('분석 결과'!Q38,FALSE,-1)=13421772,'분석 결과'!AG38,"")</f>
        <v>불검출</v>
      </c>
      <c r="R35" s="93">
        <f>IF(GetColor('분석 결과'!R38,FALSE,-1)=13421772,'분석 결과'!AH38,"")</f>
        <v>0.58928999999999998</v>
      </c>
      <c r="S35" s="92">
        <f>IF(GetColor('분석 결과'!S38,FALSE,-1)=13421772,'분석 결과'!AI38,"")</f>
        <v>6.8999999999999997E-4</v>
      </c>
      <c r="T35" s="94">
        <f>IF(GetColor('분석 결과'!T38,FALSE,-1)=13421772,'분석 결과'!AJ38,"")</f>
        <v>2.2000000000000001E-4</v>
      </c>
    </row>
    <row r="36" spans="1:20" x14ac:dyDescent="0.3">
      <c r="A36" s="19">
        <v>1</v>
      </c>
      <c r="B36" s="19" t="str">
        <f>'분석 결과'!B39</f>
        <v>4782300042-26</v>
      </c>
      <c r="C36" s="19" t="str">
        <f>'분석 결과'!C39</f>
        <v>기정 알칼리수</v>
      </c>
      <c r="D36" s="53" t="str">
        <f>'분석 결과'!D39</f>
        <v>먹는샘물/먹는샘물제품수</v>
      </c>
      <c r="E36" s="53" t="str">
        <f>'분석 결과'!E39</f>
        <v>08-29</v>
      </c>
      <c r="F36" s="61" t="str">
        <f>IF(GetColor('분석 결과'!F39,FALSE,-1)=13421772,'분석 결과'!V39,"")</f>
        <v>불검출</v>
      </c>
      <c r="G36" s="92">
        <f>IF(GetColor('분석 결과'!G39,FALSE,-1)=13421772,'분석 결과'!W39,"")</f>
        <v>6.7999999999999996E-3</v>
      </c>
      <c r="H36" s="61" t="str">
        <f>IF(GetColor('분석 결과'!H39,FALSE,-1)=13421772,'분석 결과'!X39,"")</f>
        <v>불검출</v>
      </c>
      <c r="I36" s="61" t="str">
        <f>IF(GetColor('분석 결과'!I39,FALSE,-1)=13421772,'분석 결과'!Y39,"")</f>
        <v>불검출</v>
      </c>
      <c r="J36" s="61" t="str">
        <f>IF(GetColor('분석 결과'!J39,FALSE,-1)=13421772,'분석 결과'!Z39,"")</f>
        <v>불검출</v>
      </c>
      <c r="K36" s="61" t="str">
        <f>IF(GetColor('분석 결과'!K39,FALSE,-1)=13421772,'분석 결과'!AA39,"")</f>
        <v>불검출</v>
      </c>
      <c r="L36" s="61" t="str">
        <f>IF(GetColor('분석 결과'!L39,FALSE,-1)=13421772,'분석 결과'!AB39,"")</f>
        <v>불검출</v>
      </c>
      <c r="M36" s="61" t="str">
        <f>IF(GetColor('분석 결과'!M39,FALSE,-1)=13421772,'분석 결과'!AC39,"")</f>
        <v>불검출</v>
      </c>
      <c r="N36" s="61" t="str">
        <f>IF(GetColor('분석 결과'!N39,FALSE,-1)=13421772,'분석 결과'!AD39,"")</f>
        <v>불검출</v>
      </c>
      <c r="O36" s="61" t="str">
        <f>IF(GetColor('분석 결과'!O39,FALSE,-1)=13421772,'분석 결과'!AE39,"")</f>
        <v>불검출</v>
      </c>
      <c r="P36" s="61" t="str">
        <f>IF(GetColor('분석 결과'!P39,FALSE,-1)=13421772,'분석 결과'!AF39,"")</f>
        <v>불검출</v>
      </c>
      <c r="Q36" s="61" t="str">
        <f>IF(GetColor('분석 결과'!Q39,FALSE,-1)=13421772,'분석 결과'!AG39,"")</f>
        <v>불검출</v>
      </c>
      <c r="R36" s="93">
        <f>IF(GetColor('분석 결과'!R39,FALSE,-1)=13421772,'분석 결과'!AH39,"")</f>
        <v>3.0689999999999999E-2</v>
      </c>
      <c r="S36" s="92">
        <f>IF(GetColor('분석 결과'!S39,FALSE,-1)=13421772,'분석 결과'!AI39,"")</f>
        <v>1.341E-2</v>
      </c>
      <c r="T36" s="94">
        <f>IF(GetColor('분석 결과'!T39,FALSE,-1)=13421772,'분석 결과'!AJ39,"")</f>
        <v>1.64E-3</v>
      </c>
    </row>
    <row r="37" spans="1:20" x14ac:dyDescent="0.3">
      <c r="A37" s="19">
        <v>1</v>
      </c>
      <c r="B37" s="19" t="str">
        <f>'분석 결과'!B40</f>
        <v>4782300042-27</v>
      </c>
      <c r="C37" s="19" t="str">
        <f>'분석 결과'!C40</f>
        <v>닥터 코아</v>
      </c>
      <c r="D37" s="53" t="str">
        <f>'분석 결과'!D40</f>
        <v>먹는샘물/먹는샘물제품수</v>
      </c>
      <c r="E37" s="53" t="str">
        <f>'분석 결과'!E40</f>
        <v>08-29</v>
      </c>
      <c r="F37" s="61" t="str">
        <f>IF(GetColor('분석 결과'!F40,FALSE,-1)=13421772,'분석 결과'!V40,"")</f>
        <v>불검출</v>
      </c>
      <c r="G37" s="61" t="str">
        <f>IF(GetColor('분석 결과'!G40,FALSE,-1)=13421772,'분석 결과'!W40,"")</f>
        <v>불검출</v>
      </c>
      <c r="H37" s="61" t="str">
        <f>IF(GetColor('분석 결과'!H40,FALSE,-1)=13421772,'분석 결과'!X40,"")</f>
        <v>불검출</v>
      </c>
      <c r="I37" s="61" t="str">
        <f>IF(GetColor('분석 결과'!I40,FALSE,-1)=13421772,'분석 결과'!Y40,"")</f>
        <v>불검출</v>
      </c>
      <c r="J37" s="61" t="str">
        <f>IF(GetColor('분석 결과'!J40,FALSE,-1)=13421772,'분석 결과'!Z40,"")</f>
        <v>불검출</v>
      </c>
      <c r="K37" s="61" t="str">
        <f>IF(GetColor('분석 결과'!K40,FALSE,-1)=13421772,'분석 결과'!AA40,"")</f>
        <v>불검출</v>
      </c>
      <c r="L37" s="61" t="str">
        <f>IF(GetColor('분석 결과'!L40,FALSE,-1)=13421772,'분석 결과'!AB40,"")</f>
        <v>불검출</v>
      </c>
      <c r="M37" s="61" t="str">
        <f>IF(GetColor('분석 결과'!M40,FALSE,-1)=13421772,'분석 결과'!AC40,"")</f>
        <v>불검출</v>
      </c>
      <c r="N37" s="61" t="str">
        <f>IF(GetColor('분석 결과'!N40,FALSE,-1)=13421772,'분석 결과'!AD40,"")</f>
        <v>불검출</v>
      </c>
      <c r="O37" s="92">
        <f>IF(GetColor('분석 결과'!O40,FALSE,-1)=13421772,'분석 결과'!AE40,"")</f>
        <v>3.6999999999999998E-2</v>
      </c>
      <c r="P37" s="61" t="str">
        <f>IF(GetColor('분석 결과'!P40,FALSE,-1)=13421772,'분석 결과'!AF40,"")</f>
        <v>불검출</v>
      </c>
      <c r="Q37" s="92">
        <f>IF(GetColor('분석 결과'!Q40,FALSE,-1)=13421772,'분석 결과'!AG40,"")</f>
        <v>1.5699999999999999E-2</v>
      </c>
      <c r="R37" s="92">
        <f>IF(GetColor('분석 결과'!R40,FALSE,-1)=13421772,'분석 결과'!AH40,"")</f>
        <v>2.5000000000000001E-4</v>
      </c>
      <c r="S37" s="61" t="str">
        <f>IF(GetColor('분석 결과'!S40,FALSE,-1)=13421772,'분석 결과'!AI40,"")</f>
        <v>불검출</v>
      </c>
      <c r="T37" s="94">
        <f>IF(GetColor('분석 결과'!T40,FALSE,-1)=13421772,'분석 결과'!AJ40,"")</f>
        <v>4.6999999999999999E-4</v>
      </c>
    </row>
    <row r="38" spans="1:20" x14ac:dyDescent="0.3">
      <c r="A38" s="19">
        <v>1</v>
      </c>
      <c r="B38" s="19" t="str">
        <f>'분석 결과'!B41</f>
        <v>4782300042-28</v>
      </c>
      <c r="C38" s="19" t="str">
        <f>'분석 결과'!C41</f>
        <v>미네랄 파동수</v>
      </c>
      <c r="D38" s="53" t="str">
        <f>'분석 결과'!D41</f>
        <v>먹는샘물/먹는샘물제품수</v>
      </c>
      <c r="E38" s="53" t="str">
        <f>'분석 결과'!E41</f>
        <v>08-29</v>
      </c>
      <c r="F38" s="61" t="str">
        <f>IF(GetColor('분석 결과'!F41,FALSE,-1)=13421772,'분석 결과'!V41,"")</f>
        <v>불검출</v>
      </c>
      <c r="G38" s="61" t="str">
        <f>IF(GetColor('분석 결과'!G41,FALSE,-1)=13421772,'분석 결과'!W41,"")</f>
        <v>불검출</v>
      </c>
      <c r="H38" s="61" t="str">
        <f>IF(GetColor('분석 결과'!H41,FALSE,-1)=13421772,'분석 결과'!X41,"")</f>
        <v>불검출</v>
      </c>
      <c r="I38" s="61" t="str">
        <f>IF(GetColor('분석 결과'!I41,FALSE,-1)=13421772,'분석 결과'!Y41,"")</f>
        <v>불검출</v>
      </c>
      <c r="J38" s="61" t="str">
        <f>IF(GetColor('분석 결과'!J41,FALSE,-1)=13421772,'분석 결과'!Z41,"")</f>
        <v>불검출</v>
      </c>
      <c r="K38" s="61" t="str">
        <f>IF(GetColor('분석 결과'!K41,FALSE,-1)=13421772,'분석 결과'!AA41,"")</f>
        <v>불검출</v>
      </c>
      <c r="L38" s="61" t="str">
        <f>IF(GetColor('분석 결과'!L41,FALSE,-1)=13421772,'분석 결과'!AB41,"")</f>
        <v>불검출</v>
      </c>
      <c r="M38" s="61" t="str">
        <f>IF(GetColor('분석 결과'!M41,FALSE,-1)=13421772,'분석 결과'!AC41,"")</f>
        <v>불검출</v>
      </c>
      <c r="N38" s="61" t="str">
        <f>IF(GetColor('분석 결과'!N41,FALSE,-1)=13421772,'분석 결과'!AD41,"")</f>
        <v>불검출</v>
      </c>
      <c r="O38" s="61" t="str">
        <f>IF(GetColor('분석 결과'!O41,FALSE,-1)=13421772,'분석 결과'!AE41,"")</f>
        <v>불검출</v>
      </c>
      <c r="P38" s="92">
        <f>IF(GetColor('분석 결과'!P41,FALSE,-1)=13421772,'분석 결과'!AF41,"")</f>
        <v>0.14599999999999999</v>
      </c>
      <c r="Q38" s="92">
        <f>IF(GetColor('분석 결과'!Q41,FALSE,-1)=13421772,'분석 결과'!AG41,"")</f>
        <v>1.0800000000000001E-2</v>
      </c>
      <c r="R38" s="61" t="str">
        <f>IF(GetColor('분석 결과'!R41,FALSE,-1)=13421772,'분석 결과'!AH41,"")</f>
        <v>불검출</v>
      </c>
      <c r="S38" s="92">
        <f>IF(GetColor('분석 결과'!S41,FALSE,-1)=13421772,'분석 결과'!AI41,"")</f>
        <v>3.6000000000000002E-4</v>
      </c>
      <c r="T38" s="94">
        <f>IF(GetColor('분석 결과'!T41,FALSE,-1)=13421772,'분석 결과'!AJ41,"")</f>
        <v>9.6000000000000002E-4</v>
      </c>
    </row>
    <row r="39" spans="1:20" x14ac:dyDescent="0.3">
      <c r="A39" s="19">
        <v>1</v>
      </c>
      <c r="B39" s="19" t="str">
        <f>'분석 결과'!B42</f>
        <v>4782300042-29</v>
      </c>
      <c r="C39" s="19" t="str">
        <f>'분석 결과'!C42</f>
        <v>미네랄 600</v>
      </c>
      <c r="D39" s="53" t="str">
        <f>'분석 결과'!D42</f>
        <v>먹는샘물/먹는샘물제품수</v>
      </c>
      <c r="E39" s="53" t="str">
        <f>'분석 결과'!E42</f>
        <v>08-29</v>
      </c>
      <c r="F39" s="61" t="str">
        <f>IF(GetColor('분석 결과'!F42,FALSE,-1)=13421772,'분석 결과'!V42,"")</f>
        <v>불검출</v>
      </c>
      <c r="G39" s="61" t="str">
        <f>IF(GetColor('분석 결과'!G42,FALSE,-1)=13421772,'분석 결과'!W42,"")</f>
        <v>불검출</v>
      </c>
      <c r="H39" s="93">
        <f>IF(GetColor('분석 결과'!H42,FALSE,-1)=13421772,'분석 결과'!X42,"")</f>
        <v>1.49E-2</v>
      </c>
      <c r="I39" s="61" t="str">
        <f>IF(GetColor('분석 결과'!I42,FALSE,-1)=13421772,'분석 결과'!Y42,"")</f>
        <v>불검출</v>
      </c>
      <c r="J39" s="61" t="str">
        <f>IF(GetColor('분석 결과'!J42,FALSE,-1)=13421772,'분석 결과'!Z42,"")</f>
        <v>불검출</v>
      </c>
      <c r="K39" s="61" t="str">
        <f>IF(GetColor('분석 결과'!K42,FALSE,-1)=13421772,'분석 결과'!AA42,"")</f>
        <v>불검출</v>
      </c>
      <c r="L39" s="92">
        <f>IF(GetColor('분석 결과'!L42,FALSE,-1)=13421772,'분석 결과'!AB42,"")</f>
        <v>4.7999999999999996E-3</v>
      </c>
      <c r="M39" s="61" t="str">
        <f>IF(GetColor('분석 결과'!M42,FALSE,-1)=13421772,'분석 결과'!AC42,"")</f>
        <v>불검출</v>
      </c>
      <c r="N39" s="61" t="str">
        <f>IF(GetColor('분석 결과'!N42,FALSE,-1)=13421772,'분석 결과'!AD42,"")</f>
        <v>불검출</v>
      </c>
      <c r="O39" s="61" t="str">
        <f>IF(GetColor('분석 결과'!O42,FALSE,-1)=13421772,'분석 결과'!AE42,"")</f>
        <v>불검출</v>
      </c>
      <c r="P39" s="92">
        <f>IF(GetColor('분석 결과'!P42,FALSE,-1)=13421772,'분석 결과'!AF42,"")</f>
        <v>7.8E-2</v>
      </c>
      <c r="Q39" s="61" t="str">
        <f>IF(GetColor('분석 결과'!Q42,FALSE,-1)=13421772,'분석 결과'!AG42,"")</f>
        <v>불검출</v>
      </c>
      <c r="R39" s="61" t="str">
        <f>IF(GetColor('분석 결과'!R42,FALSE,-1)=13421772,'분석 결과'!AH42,"")</f>
        <v>불검출</v>
      </c>
      <c r="S39" s="61" t="str">
        <f>IF(GetColor('분석 결과'!S42,FALSE,-1)=13421772,'분석 결과'!AI42,"")</f>
        <v>불검출</v>
      </c>
      <c r="T39" s="94">
        <f>IF(GetColor('분석 결과'!T42,FALSE,-1)=13421772,'분석 결과'!AJ42,"")</f>
        <v>4.4999999999999999E-4</v>
      </c>
    </row>
    <row r="40" spans="1:20" x14ac:dyDescent="0.3">
      <c r="A40" s="19">
        <v>1</v>
      </c>
      <c r="B40" s="19" t="str">
        <f>'분석 결과'!B43</f>
        <v>4782300042-30</v>
      </c>
      <c r="C40" s="19" t="str">
        <f>'분석 결과'!C43</f>
        <v>리얼마미수플러스</v>
      </c>
      <c r="D40" s="53" t="str">
        <f>'분석 결과'!D43</f>
        <v>먹는샘물/먹는샘물제품수</v>
      </c>
      <c r="E40" s="53" t="str">
        <f>'분석 결과'!E43</f>
        <v>08-29</v>
      </c>
      <c r="F40" s="61" t="str">
        <f>IF(GetColor('분석 결과'!F43,FALSE,-1)=13421772,'분석 결과'!V43,"")</f>
        <v>불검출</v>
      </c>
      <c r="G40" s="61" t="str">
        <f>IF(GetColor('분석 결과'!G43,FALSE,-1)=13421772,'분석 결과'!W43,"")</f>
        <v>불검출</v>
      </c>
      <c r="H40" s="92">
        <f>IF(GetColor('분석 결과'!H43,FALSE,-1)=13421772,'분석 결과'!X43,"")</f>
        <v>7.7000000000000002E-3</v>
      </c>
      <c r="I40" s="61" t="str">
        <f>IF(GetColor('분석 결과'!I43,FALSE,-1)=13421772,'분석 결과'!Y43,"")</f>
        <v>불검출</v>
      </c>
      <c r="J40" s="61" t="str">
        <f>IF(GetColor('분석 결과'!J43,FALSE,-1)=13421772,'분석 결과'!Z43,"")</f>
        <v>불검출</v>
      </c>
      <c r="K40" s="61" t="str">
        <f>IF(GetColor('분석 결과'!K43,FALSE,-1)=13421772,'분석 결과'!AA43,"")</f>
        <v>불검출</v>
      </c>
      <c r="L40" s="92">
        <f>IF(GetColor('분석 결과'!L43,FALSE,-1)=13421772,'분석 결과'!AB43,"")</f>
        <v>1.47E-2</v>
      </c>
      <c r="M40" s="61" t="str">
        <f>IF(GetColor('분석 결과'!M43,FALSE,-1)=13421772,'분석 결과'!AC43,"")</f>
        <v>불검출</v>
      </c>
      <c r="N40" s="61" t="str">
        <f>IF(GetColor('분석 결과'!N43,FALSE,-1)=13421772,'분석 결과'!AD43,"")</f>
        <v>불검출</v>
      </c>
      <c r="O40" s="61" t="str">
        <f>IF(GetColor('분석 결과'!O43,FALSE,-1)=13421772,'분석 결과'!AE43,"")</f>
        <v>불검출</v>
      </c>
      <c r="P40" s="92">
        <f>IF(GetColor('분석 결과'!P43,FALSE,-1)=13421772,'분석 결과'!AF43,"")</f>
        <v>4.7E-2</v>
      </c>
      <c r="Q40" s="61" t="str">
        <f>IF(GetColor('분석 결과'!Q43,FALSE,-1)=13421772,'분석 결과'!AG43,"")</f>
        <v>불검출</v>
      </c>
      <c r="R40" s="61" t="str">
        <f>IF(GetColor('분석 결과'!R43,FALSE,-1)=13421772,'분석 결과'!AH43,"")</f>
        <v>불검출</v>
      </c>
      <c r="S40" s="61" t="str">
        <f>IF(GetColor('분석 결과'!S43,FALSE,-1)=13421772,'분석 결과'!AI43,"")</f>
        <v>불검출</v>
      </c>
      <c r="T40" s="94">
        <f>IF(GetColor('분석 결과'!T43,FALSE,-1)=13421772,'분석 결과'!AJ43,"")</f>
        <v>4.8999999999999998E-4</v>
      </c>
    </row>
    <row r="41" spans="1:20" x14ac:dyDescent="0.3">
      <c r="A41" s="19">
        <v>1</v>
      </c>
      <c r="B41" s="19" t="str">
        <f>'분석 결과'!B44</f>
        <v>4782300042-31</v>
      </c>
      <c r="C41" s="19" t="str">
        <f>'분석 결과'!C44</f>
        <v>이즈미오</v>
      </c>
      <c r="D41" s="53" t="str">
        <f>'분석 결과'!D44</f>
        <v>먹는샘물/먹는샘물제품수</v>
      </c>
      <c r="E41" s="53" t="str">
        <f>'분석 결과'!E44</f>
        <v>08-29</v>
      </c>
      <c r="F41" s="61" t="str">
        <f>IF(GetColor('분석 결과'!F44,FALSE,-1)=13421772,'분석 결과'!V44,"")</f>
        <v>불검출</v>
      </c>
      <c r="G41" s="61" t="str">
        <f>IF(GetColor('분석 결과'!G44,FALSE,-1)=13421772,'분석 결과'!W44,"")</f>
        <v>불검출</v>
      </c>
      <c r="H41" s="61" t="str">
        <f>IF(GetColor('분석 결과'!H44,FALSE,-1)=13421772,'분석 결과'!X44,"")</f>
        <v>불검출</v>
      </c>
      <c r="I41" s="61" t="str">
        <f>IF(GetColor('분석 결과'!I44,FALSE,-1)=13421772,'분석 결과'!Y44,"")</f>
        <v>불검출</v>
      </c>
      <c r="J41" s="61" t="str">
        <f>IF(GetColor('분석 결과'!J44,FALSE,-1)=13421772,'분석 결과'!Z44,"")</f>
        <v>불검출</v>
      </c>
      <c r="K41" s="61" t="str">
        <f>IF(GetColor('분석 결과'!K44,FALSE,-1)=13421772,'분석 결과'!AA44,"")</f>
        <v>불검출</v>
      </c>
      <c r="L41" s="61" t="str">
        <f>IF(GetColor('분석 결과'!L44,FALSE,-1)=13421772,'분석 결과'!AB44,"")</f>
        <v>불검출</v>
      </c>
      <c r="M41" s="61" t="str">
        <f>IF(GetColor('분석 결과'!M44,FALSE,-1)=13421772,'분석 결과'!AC44,"")</f>
        <v>불검출</v>
      </c>
      <c r="N41" s="61" t="str">
        <f>IF(GetColor('분석 결과'!N44,FALSE,-1)=13421772,'분석 결과'!AD44,"")</f>
        <v>불검출</v>
      </c>
      <c r="O41" s="61" t="str">
        <f>IF(GetColor('분석 결과'!O44,FALSE,-1)=13421772,'분석 결과'!AE44,"")</f>
        <v>불검출</v>
      </c>
      <c r="P41" s="61" t="str">
        <f>IF(GetColor('분석 결과'!P44,FALSE,-1)=13421772,'분석 결과'!AF44,"")</f>
        <v>불검출</v>
      </c>
      <c r="Q41" s="61" t="str">
        <f>IF(GetColor('분석 결과'!Q44,FALSE,-1)=13421772,'분석 결과'!AG44,"")</f>
        <v>불검출</v>
      </c>
      <c r="R41" s="61" t="str">
        <f>IF(GetColor('분석 결과'!R44,FALSE,-1)=13421772,'분석 결과'!AH44,"")</f>
        <v>불검출</v>
      </c>
      <c r="S41" s="61" t="str">
        <f>IF(GetColor('분석 결과'!S44,FALSE,-1)=13421772,'분석 결과'!AI44,"")</f>
        <v>불검출</v>
      </c>
      <c r="T41" s="60" t="str">
        <f>IF(GetColor('분석 결과'!T44,FALSE,-1)=13421772,'분석 결과'!AJ44,"")</f>
        <v>불검출</v>
      </c>
    </row>
    <row r="42" spans="1:20" x14ac:dyDescent="0.3">
      <c r="A42" s="19">
        <v>1</v>
      </c>
      <c r="B42" s="19" t="str">
        <f>'분석 결과'!B45</f>
        <v>4782300042-32</v>
      </c>
      <c r="C42" s="19" t="str">
        <f>'분석 결과'!C45</f>
        <v>덕유산 수 수소워터</v>
      </c>
      <c r="D42" s="53" t="str">
        <f>'분석 결과'!D45</f>
        <v>먹는샘물/먹는샘물제품수</v>
      </c>
      <c r="E42" s="53" t="str">
        <f>'분석 결과'!E45</f>
        <v>08-29</v>
      </c>
      <c r="F42" s="61" t="str">
        <f>IF(GetColor('분석 결과'!F45,FALSE,-1)=13421772,'분석 결과'!V45,"")</f>
        <v>불검출</v>
      </c>
      <c r="G42" s="61" t="str">
        <f>IF(GetColor('분석 결과'!G45,FALSE,-1)=13421772,'분석 결과'!W45,"")</f>
        <v>불검출</v>
      </c>
      <c r="H42" s="61" t="str">
        <f>IF(GetColor('분석 결과'!H45,FALSE,-1)=13421772,'분석 결과'!X45,"")</f>
        <v>불검출</v>
      </c>
      <c r="I42" s="61" t="str">
        <f>IF(GetColor('분석 결과'!I45,FALSE,-1)=13421772,'분석 결과'!Y45,"")</f>
        <v>불검출</v>
      </c>
      <c r="J42" s="61" t="str">
        <f>IF(GetColor('분석 결과'!J45,FALSE,-1)=13421772,'분석 결과'!Z45,"")</f>
        <v>불검출</v>
      </c>
      <c r="K42" s="61" t="str">
        <f>IF(GetColor('분석 결과'!K45,FALSE,-1)=13421772,'분석 결과'!AA45,"")</f>
        <v>불검출</v>
      </c>
      <c r="L42" s="61" t="str">
        <f>IF(GetColor('분석 결과'!L45,FALSE,-1)=13421772,'분석 결과'!AB45,"")</f>
        <v>불검출</v>
      </c>
      <c r="M42" s="92">
        <f>IF(GetColor('분석 결과'!M45,FALSE,-1)=13421772,'분석 결과'!AC45,"")</f>
        <v>1.6E-2</v>
      </c>
      <c r="N42" s="61" t="str">
        <f>IF(GetColor('분석 결과'!N45,FALSE,-1)=13421772,'분석 결과'!AD45,"")</f>
        <v>불검출</v>
      </c>
      <c r="O42" s="61" t="str">
        <f>IF(GetColor('분석 결과'!O45,FALSE,-1)=13421772,'분석 결과'!AE45,"")</f>
        <v>불검출</v>
      </c>
      <c r="P42" s="92">
        <f>IF(GetColor('분석 결과'!P45,FALSE,-1)=13421772,'분석 결과'!AF45,"")</f>
        <v>1.2E-2</v>
      </c>
      <c r="Q42" s="92">
        <f>IF(GetColor('분석 결과'!Q45,FALSE,-1)=13421772,'분석 결과'!AG45,"")</f>
        <v>1.3299999999999999E-2</v>
      </c>
      <c r="R42" s="61" t="str">
        <f>IF(GetColor('분석 결과'!R45,FALSE,-1)=13421772,'분석 결과'!AH45,"")</f>
        <v>불검출</v>
      </c>
      <c r="S42" s="61" t="str">
        <f>IF(GetColor('분석 결과'!S45,FALSE,-1)=13421772,'분석 결과'!AI45,"")</f>
        <v>불검출</v>
      </c>
      <c r="T42" s="60" t="str">
        <f>IF(GetColor('분석 결과'!T45,FALSE,-1)=13421772,'분석 결과'!AJ45,"")</f>
        <v>불검출</v>
      </c>
    </row>
    <row r="43" spans="1:20" x14ac:dyDescent="0.3">
      <c r="A43" s="19">
        <v>1</v>
      </c>
      <c r="B43" s="19" t="str">
        <f>'분석 결과'!B46</f>
        <v>4782300042-33</v>
      </c>
      <c r="C43" s="19" t="str">
        <f>'분석 결과'!C46</f>
        <v>퓨워터 하이드로젠 프리미엄</v>
      </c>
      <c r="D43" s="53" t="str">
        <f>'분석 결과'!D46</f>
        <v>먹는샘물/먹는샘물제품수</v>
      </c>
      <c r="E43" s="53" t="str">
        <f>'분석 결과'!E46</f>
        <v>08-29</v>
      </c>
      <c r="F43" s="61" t="str">
        <f>IF(GetColor('분석 결과'!F46,FALSE,-1)=13421772,'분석 결과'!V46,"")</f>
        <v>불검출</v>
      </c>
      <c r="G43" s="61" t="str">
        <f>IF(GetColor('분석 결과'!G46,FALSE,-1)=13421772,'분석 결과'!W46,"")</f>
        <v>불검출</v>
      </c>
      <c r="H43" s="61" t="str">
        <f>IF(GetColor('분석 결과'!H46,FALSE,-1)=13421772,'분석 결과'!X46,"")</f>
        <v>불검출</v>
      </c>
      <c r="I43" s="61" t="str">
        <f>IF(GetColor('분석 결과'!I46,FALSE,-1)=13421772,'분석 결과'!Y46,"")</f>
        <v>불검출</v>
      </c>
      <c r="J43" s="61" t="str">
        <f>IF(GetColor('분석 결과'!J46,FALSE,-1)=13421772,'분석 결과'!Z46,"")</f>
        <v>불검출</v>
      </c>
      <c r="K43" s="61" t="str">
        <f>IF(GetColor('분석 결과'!K46,FALSE,-1)=13421772,'분석 결과'!AA46,"")</f>
        <v>불검출</v>
      </c>
      <c r="L43" s="61" t="str">
        <f>IF(GetColor('분석 결과'!L46,FALSE,-1)=13421772,'분석 결과'!AB46,"")</f>
        <v>불검출</v>
      </c>
      <c r="M43" s="61" t="str">
        <f>IF(GetColor('분석 결과'!M46,FALSE,-1)=13421772,'분석 결과'!AC46,"")</f>
        <v>불검출</v>
      </c>
      <c r="N43" s="61" t="str">
        <f>IF(GetColor('분석 결과'!N46,FALSE,-1)=13421772,'분석 결과'!AD46,"")</f>
        <v>불검출</v>
      </c>
      <c r="O43" s="61" t="str">
        <f>IF(GetColor('분석 결과'!O46,FALSE,-1)=13421772,'분석 결과'!AE46,"")</f>
        <v>불검출</v>
      </c>
      <c r="P43" s="92">
        <f>IF(GetColor('분석 결과'!P46,FALSE,-1)=13421772,'분석 결과'!AF46,"")</f>
        <v>0.02</v>
      </c>
      <c r="Q43" s="92">
        <f>IF(GetColor('분석 결과'!Q46,FALSE,-1)=13421772,'분석 결과'!AG46,"")</f>
        <v>5.7999999999999996E-3</v>
      </c>
      <c r="R43" s="92">
        <f>IF(GetColor('분석 결과'!R46,FALSE,-1)=13421772,'분석 결과'!AH46,"")</f>
        <v>5.5000000000000003E-4</v>
      </c>
      <c r="S43" s="92">
        <f>IF(GetColor('분석 결과'!S46,FALSE,-1)=13421772,'분석 결과'!AI46,"")</f>
        <v>5.5000000000000003E-4</v>
      </c>
      <c r="T43" s="94">
        <f>IF(GetColor('분석 결과'!T46,FALSE,-1)=13421772,'분석 결과'!AJ46,"")</f>
        <v>3.8000000000000002E-4</v>
      </c>
    </row>
    <row r="44" spans="1:20" x14ac:dyDescent="0.3">
      <c r="A44" s="19">
        <v>1</v>
      </c>
      <c r="B44" s="19" t="str">
        <f>'분석 결과'!B47</f>
        <v>4782300042-34</v>
      </c>
      <c r="C44" s="19" t="str">
        <f>'분석 결과'!C47</f>
        <v>엔케이워터(NK water)</v>
      </c>
      <c r="D44" s="53" t="str">
        <f>'분석 결과'!D47</f>
        <v>먹는샘물/먹는샘물제품수</v>
      </c>
      <c r="E44" s="53" t="str">
        <f>'분석 결과'!E47</f>
        <v>08-29</v>
      </c>
      <c r="F44" s="61" t="str">
        <f>IF(GetColor('분석 결과'!F47,FALSE,-1)=13421772,'분석 결과'!V47,"")</f>
        <v>불검출</v>
      </c>
      <c r="G44" s="61" t="str">
        <f>IF(GetColor('분석 결과'!G47,FALSE,-1)=13421772,'분석 결과'!W47,"")</f>
        <v>불검출</v>
      </c>
      <c r="H44" s="61" t="str">
        <f>IF(GetColor('분석 결과'!H47,FALSE,-1)=13421772,'분석 결과'!X47,"")</f>
        <v>불검출</v>
      </c>
      <c r="I44" s="61" t="str">
        <f>IF(GetColor('분석 결과'!I47,FALSE,-1)=13421772,'분석 결과'!Y47,"")</f>
        <v>불검출</v>
      </c>
      <c r="J44" s="61" t="str">
        <f>IF(GetColor('분석 결과'!J47,FALSE,-1)=13421772,'분석 결과'!Z47,"")</f>
        <v>불검출</v>
      </c>
      <c r="K44" s="61" t="str">
        <f>IF(GetColor('분석 결과'!K47,FALSE,-1)=13421772,'분석 결과'!AA47,"")</f>
        <v>불검출</v>
      </c>
      <c r="L44" s="61" t="str">
        <f>IF(GetColor('분석 결과'!L47,FALSE,-1)=13421772,'분석 결과'!AB47,"")</f>
        <v>불검출</v>
      </c>
      <c r="M44" s="92">
        <f>IF(GetColor('분석 결과'!M47,FALSE,-1)=13421772,'분석 결과'!AC47,"")</f>
        <v>1.9900000000000001E-2</v>
      </c>
      <c r="N44" s="61" t="str">
        <f>IF(GetColor('분석 결과'!N47,FALSE,-1)=13421772,'분석 결과'!AD47,"")</f>
        <v>불검출</v>
      </c>
      <c r="O44" s="92">
        <f>IF(GetColor('분석 결과'!O47,FALSE,-1)=13421772,'분석 결과'!AE47,"")</f>
        <v>2.3E-2</v>
      </c>
      <c r="P44" s="61" t="str">
        <f>IF(GetColor('분석 결과'!P47,FALSE,-1)=13421772,'분석 결과'!AF47,"")</f>
        <v>불검출</v>
      </c>
      <c r="Q44" s="92">
        <f>IF(GetColor('분석 결과'!Q47,FALSE,-1)=13421772,'분석 결과'!AG47,"")</f>
        <v>8.0000000000000002E-3</v>
      </c>
      <c r="R44" s="61" t="str">
        <f>IF(GetColor('분석 결과'!R47,FALSE,-1)=13421772,'분석 결과'!AH47,"")</f>
        <v>불검출</v>
      </c>
      <c r="S44" s="92">
        <f>IF(GetColor('분석 결과'!S47,FALSE,-1)=13421772,'분석 결과'!AI47,"")</f>
        <v>4.6999999999999999E-4</v>
      </c>
      <c r="T44" s="94">
        <f>IF(GetColor('분석 결과'!T47,FALSE,-1)=13421772,'분석 결과'!AJ47,"")</f>
        <v>6.9999999999999994E-5</v>
      </c>
    </row>
    <row r="45" spans="1:20" x14ac:dyDescent="0.3">
      <c r="A45" s="19">
        <v>1</v>
      </c>
      <c r="B45" s="19" t="str">
        <f>'분석 결과'!B11</f>
        <v>4782300054-01</v>
      </c>
      <c r="C45" s="19" t="str">
        <f>'분석 결과'!C11</f>
        <v>경기 양주시 백석읍 기산로440번길 74-19 송천</v>
      </c>
      <c r="D45" s="53" t="str">
        <f>'분석 결과'!D11</f>
        <v>지하수/먹는물/지하수 46항(현장이중시료)</v>
      </c>
      <c r="E45" s="53" t="str">
        <f>'분석 결과'!E11</f>
        <v>08-30</v>
      </c>
      <c r="F45" s="61" t="str">
        <f>IF(GetColor('분석 결과'!F11,FALSE,-1)=13421772,'분석 결과'!V11,"")</f>
        <v>불검출</v>
      </c>
      <c r="G45" s="61" t="str">
        <f>IF(GetColor('분석 결과'!G11,FALSE,-1)=13421772,'분석 결과'!W11,"")</f>
        <v>불검출</v>
      </c>
      <c r="H45" s="61" t="str">
        <f>IF(GetColor('분석 결과'!H11,FALSE,-1)=13421772,'분석 결과'!X11,"")</f>
        <v>불검출</v>
      </c>
      <c r="I45" s="61" t="str">
        <f>IF(GetColor('분석 결과'!I11,FALSE,-1)=13421772,'분석 결과'!Y11,"")</f>
        <v>불검출</v>
      </c>
      <c r="J45" s="61" t="str">
        <f>IF(GetColor('분석 결과'!J11,FALSE,-1)=13421772,'분석 결과'!Z11,"")</f>
        <v>불검출</v>
      </c>
      <c r="K45" s="61" t="str">
        <f>IF(GetColor('분석 결과'!K11,FALSE,-1)=13421772,'분석 결과'!AA11,"")</f>
        <v>불검출</v>
      </c>
      <c r="L45" s="61" t="str">
        <f>IF(GetColor('분석 결과'!L11,FALSE,-1)=13421772,'분석 결과'!AB11,"")</f>
        <v>불검출</v>
      </c>
      <c r="M45" s="92">
        <f>IF(GetColor('분석 결과'!M11,FALSE,-1)=13421772,'분석 결과'!AC11,"")</f>
        <v>8.5000000000000006E-3</v>
      </c>
      <c r="N45" s="61" t="str">
        <f>IF(GetColor('분석 결과'!N11,FALSE,-1)=13421772,'분석 결과'!AD11,"")</f>
        <v>불검출</v>
      </c>
      <c r="O45" s="61" t="str">
        <f>IF(GetColor('분석 결과'!O11,FALSE,-1)=13421772,'분석 결과'!AE11,"")</f>
        <v>불검출</v>
      </c>
      <c r="P45" s="92">
        <f>IF(GetColor('분석 결과'!P11,FALSE,-1)=13421772,'분석 결과'!AF11,"")</f>
        <v>1.2E-2</v>
      </c>
      <c r="Q45" s="92">
        <f>IF(GetColor('분석 결과'!Q11,FALSE,-1)=13421772,'분석 결과'!AG11,"")</f>
        <v>0.15659999999999999</v>
      </c>
      <c r="R45" s="61" t="str">
        <f>IF(GetColor('분석 결과'!R11,FALSE,-1)=13421772,'분석 결과'!AH11,"")</f>
        <v/>
      </c>
      <c r="S45" s="61" t="str">
        <f>IF(GetColor('분석 결과'!S11,FALSE,-1)=13421772,'분석 결과'!AI11,"")</f>
        <v/>
      </c>
      <c r="T45" s="60" t="str">
        <f>IF(GetColor('분석 결과'!T11,FALSE,-1)=13421772,'분석 결과'!AJ11,"")</f>
        <v/>
      </c>
    </row>
  </sheetData>
  <autoFilter ref="A7:AI45"/>
  <sortState ref="A8:T45">
    <sortCondition ref="B8"/>
  </sortState>
  <mergeCells count="1">
    <mergeCell ref="A1:D6"/>
  </mergeCells>
  <phoneticPr fontId="1" type="noConversion"/>
  <printOptions horizontalCentered="1"/>
  <pageMargins left="0.25" right="0.25" top="0.75" bottom="0.75" header="0.3" footer="0.3"/>
  <pageSetup paperSize="9" fitToHeight="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분석 결과</vt:lpstr>
      <vt:lpstr>최종 결과</vt:lpstr>
      <vt:lpstr>입력</vt:lpstr>
      <vt:lpstr>입력!Print_Area</vt:lpstr>
      <vt:lpstr>'최종 결과'!Print_Area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2023-03-17T01:00:29Z</cp:lastPrinted>
  <dcterms:created xsi:type="dcterms:W3CDTF">2022-06-17T01:58:45Z</dcterms:created>
  <dcterms:modified xsi:type="dcterms:W3CDTF">2023-09-06T07:59:01Z</dcterms:modified>
</cp:coreProperties>
</file>